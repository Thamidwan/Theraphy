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tut4lifeac-my.sharepoint.com/personal/kambalevw_tut_ac_za/Documents/Documents/ICT FACULTY 2026/SEMESTER TESTS 2 S2-2026/"/>
    </mc:Choice>
  </mc:AlternateContent>
  <xr:revisionPtr revIDLastSave="326" documentId="8_{512FD285-7271-4D87-B3E0-31B9EDE9BFF3}" xr6:coauthVersionLast="47" xr6:coauthVersionMax="47" xr10:uidLastSave="{79595603-1365-4759-8321-14791C21F57F}"/>
  <bookViews>
    <workbookView xWindow="28680" yWindow="-120" windowWidth="29040" windowHeight="15720" tabRatio="808" xr2:uid="{492A3C4A-86E2-4C3B-927B-E9C8B47BB27A}"/>
  </bookViews>
  <sheets>
    <sheet name="Sem Test 2 S2 2026 (Diplomas)" sheetId="8" r:id="rId1"/>
    <sheet name="Sem Test 2 S2 2026 Sat Classes " sheetId="9"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8" l="1"/>
  <c r="H91" i="8"/>
  <c r="H34" i="8"/>
  <c r="H27" i="8"/>
  <c r="F270" i="8"/>
  <c r="F240" i="8"/>
  <c r="F128" i="8"/>
  <c r="F114" i="8"/>
  <c r="F106" i="8"/>
  <c r="F88" i="8"/>
  <c r="F37" i="8"/>
  <c r="F18" i="8"/>
  <c r="F11" i="8"/>
  <c r="H251" i="8" l="1"/>
  <c r="I244" i="8"/>
  <c r="I236" i="8"/>
  <c r="H213" i="8"/>
  <c r="I207" i="8"/>
  <c r="I199" i="8"/>
  <c r="H183" i="8"/>
  <c r="I177" i="8"/>
  <c r="I169" i="8"/>
  <c r="H161" i="8"/>
  <c r="H155" i="8"/>
  <c r="H147" i="8"/>
  <c r="I141" i="8"/>
  <c r="I133" i="8"/>
  <c r="H125" i="8"/>
  <c r="H118" i="8"/>
  <c r="I111" i="8"/>
  <c r="I103" i="8"/>
  <c r="H85" i="8"/>
  <c r="I79" i="8"/>
  <c r="I71" i="8"/>
  <c r="H55" i="8"/>
  <c r="I49" i="8"/>
  <c r="I42" i="8"/>
  <c r="I279" i="8"/>
  <c r="F57" i="9" l="1"/>
  <c r="F104" i="9"/>
  <c r="F91" i="9"/>
  <c r="F71" i="9"/>
  <c r="F38" i="9"/>
  <c r="F20" i="9"/>
  <c r="H21" i="8"/>
  <c r="F297" i="8"/>
  <c r="F296" i="8"/>
  <c r="F295" i="8"/>
  <c r="F291" i="8"/>
  <c r="I15" i="8"/>
  <c r="I8" i="8"/>
  <c r="H266" i="8" l="1"/>
  <c r="H258" i="8"/>
  <c r="H227" i="8"/>
  <c r="H220" i="8"/>
  <c r="H189" i="8"/>
</calcChain>
</file>

<file path=xl/sharedStrings.xml><?xml version="1.0" encoding="utf-8"?>
<sst xmlns="http://schemas.openxmlformats.org/spreadsheetml/2006/main" count="1165" uniqueCount="399">
  <si>
    <t>Practical - Normal Lab</t>
  </si>
  <si>
    <t>SUBJECT CODE</t>
  </si>
  <si>
    <t>COURSE</t>
  </si>
  <si>
    <t>T/P</t>
  </si>
  <si>
    <t>DUR</t>
  </si>
  <si>
    <t># STUD</t>
  </si>
  <si>
    <t>SLOT</t>
  </si>
  <si>
    <t>LECTURER(s)</t>
  </si>
  <si>
    <t>VENUES</t>
  </si>
  <si>
    <t>COMMENTS</t>
  </si>
  <si>
    <t>SOSHANGUVE</t>
  </si>
  <si>
    <t>DPYEF0</t>
  </si>
  <si>
    <t>B</t>
  </si>
  <si>
    <t>Theory</t>
  </si>
  <si>
    <t>T</t>
  </si>
  <si>
    <t>F</t>
  </si>
  <si>
    <t>MT2116D</t>
  </si>
  <si>
    <t>DPYE20</t>
  </si>
  <si>
    <t>TJ Mogaladi</t>
  </si>
  <si>
    <t>MT1F05D</t>
  </si>
  <si>
    <t>S Khumalo</t>
  </si>
  <si>
    <t>MT2F06D</t>
  </si>
  <si>
    <t xml:space="preserve">T Tong </t>
  </si>
  <si>
    <t>CFB115D</t>
  </si>
  <si>
    <t>DPMC20/DPRS20</t>
  </si>
  <si>
    <t>SEF216D</t>
  </si>
  <si>
    <t>DPRS20/DPRSF0</t>
  </si>
  <si>
    <t>TAN216D</t>
  </si>
  <si>
    <t>DPMC20/DPMCF0</t>
  </si>
  <si>
    <t>P</t>
  </si>
  <si>
    <t>BCM115D</t>
  </si>
  <si>
    <t>DPIF20</t>
  </si>
  <si>
    <t>BCMF15D</t>
  </si>
  <si>
    <t>DPIFF0</t>
  </si>
  <si>
    <t>CN2216D</t>
  </si>
  <si>
    <t>DPIT20/DPITF0</t>
  </si>
  <si>
    <t>NWS216D / CN2115D</t>
  </si>
  <si>
    <t>DPYE20/DPYEF0/DPIT20</t>
  </si>
  <si>
    <t>CN2F15D</t>
  </si>
  <si>
    <t>DPITF0</t>
  </si>
  <si>
    <t xml:space="preserve">PG2F06D </t>
  </si>
  <si>
    <t>PG2116D</t>
  </si>
  <si>
    <t>PG1F05D</t>
  </si>
  <si>
    <t>ITP216D</t>
  </si>
  <si>
    <t>DPIF20/DPIFF0</t>
  </si>
  <si>
    <t>OPS216D</t>
  </si>
  <si>
    <t>DPYE20/DPYEF0</t>
  </si>
  <si>
    <t>16P105X/16E105X - Year</t>
  </si>
  <si>
    <t>DPIF20/DPIT20/DPRS20/DPMC20</t>
  </si>
  <si>
    <t>MUA216D</t>
  </si>
  <si>
    <t>NWS115D</t>
  </si>
  <si>
    <t>NWSF05D</t>
  </si>
  <si>
    <t>EIPF05D</t>
  </si>
  <si>
    <t>ORS216D</t>
  </si>
  <si>
    <t>SYB216D</t>
  </si>
  <si>
    <t>PS2216D</t>
  </si>
  <si>
    <t xml:space="preserve">MRO216D </t>
  </si>
  <si>
    <t>DPRSF0/DPMCF0/DPRS20/DPIF20/
DPMC20/DPITF0/DPIT20/DPIFF0</t>
  </si>
  <si>
    <t>PCO115D</t>
  </si>
  <si>
    <t>PCOF05D</t>
  </si>
  <si>
    <t>DP2216D</t>
  </si>
  <si>
    <t>CMSF05D</t>
  </si>
  <si>
    <t>BB02 lab</t>
  </si>
  <si>
    <t>AA01 lab</t>
  </si>
  <si>
    <t>AA02 lab</t>
  </si>
  <si>
    <t>DCT115D / DCTF15D / DSM116D</t>
  </si>
  <si>
    <t>DPITF0/DPRS20/DPMC20/DPIT20/
DPMCF0/DPRSF0</t>
  </si>
  <si>
    <t>BFS115D</t>
  </si>
  <si>
    <t>BFSF15D</t>
  </si>
  <si>
    <t>EL2116D</t>
  </si>
  <si>
    <t>LOD216D</t>
  </si>
  <si>
    <t>EL1F05D</t>
  </si>
  <si>
    <t>EL2F06D</t>
  </si>
  <si>
    <t>ISC216D</t>
  </si>
  <si>
    <t>GMP216D</t>
  </si>
  <si>
    <t>10-G10 lab</t>
  </si>
  <si>
    <t>BUB216D</t>
  </si>
  <si>
    <t>VMA216D</t>
  </si>
  <si>
    <t>PLC216D</t>
  </si>
  <si>
    <t>AOP216D / AOR216D</t>
  </si>
  <si>
    <t>DPRS20/DPRSF0/DPMC20/DPMCF0/
DPIT20/DPITF0</t>
  </si>
  <si>
    <t>WEB115D</t>
  </si>
  <si>
    <t>DPRS20/DPMC20</t>
  </si>
  <si>
    <t>CAT116D</t>
  </si>
  <si>
    <t>DPIT20</t>
  </si>
  <si>
    <t>CGB115D</t>
  </si>
  <si>
    <t>DBB216D</t>
  </si>
  <si>
    <t>DE2F06D</t>
  </si>
  <si>
    <t>DE2116D</t>
  </si>
  <si>
    <t>DE1F05D</t>
  </si>
  <si>
    <t>ARI216D</t>
  </si>
  <si>
    <t>EXTENDED FIRST YEAR SUBJECTS (F&amp;F UNIT)</t>
  </si>
  <si>
    <t>PPAF05D / TROF05D</t>
  </si>
  <si>
    <t>DPIFF0/DPMCF0/DPRSF0/DPITF0</t>
  </si>
  <si>
    <t>Will take part as Sem Test ?</t>
  </si>
  <si>
    <t>FYFU</t>
  </si>
  <si>
    <t>CFAF05D</t>
  </si>
  <si>
    <t>DPMCF0/DPRSF0</t>
  </si>
  <si>
    <t>CGAF05D</t>
  </si>
  <si>
    <t>CN1F05D</t>
  </si>
  <si>
    <t>COHF05D / CHOF05D</t>
  </si>
  <si>
    <t>Coordinator: K Mokgomole</t>
  </si>
  <si>
    <t>PROJECT SUBJECTS:</t>
  </si>
  <si>
    <t>PJT101B / (PCO115D - sem 2)</t>
  </si>
  <si>
    <t>CSE</t>
  </si>
  <si>
    <t>G</t>
  </si>
  <si>
    <t>S Adebusola</t>
  </si>
  <si>
    <t>Project - Will not Take Part</t>
  </si>
  <si>
    <t>ISD316D - sem 1</t>
  </si>
  <si>
    <t>C</t>
  </si>
  <si>
    <t>D Malebana</t>
  </si>
  <si>
    <t>PD1315D - sem 1</t>
  </si>
  <si>
    <t>V Masaba, D Matshiba</t>
  </si>
  <si>
    <t>SWP316D/DSO34BT - sem 1</t>
  </si>
  <si>
    <t>DPRS20/DPRSF0/SDT</t>
  </si>
  <si>
    <t>E</t>
  </si>
  <si>
    <t>D Chuene</t>
  </si>
  <si>
    <t>Coordinator: FE Ntuli</t>
  </si>
  <si>
    <t>Coordinator: C Coetzee</t>
  </si>
  <si>
    <t xml:space="preserve">Coordinator: WV Kambale </t>
  </si>
  <si>
    <t>CAPF05X / COEF05X</t>
  </si>
  <si>
    <r>
      <t xml:space="preserve">FIRST THEORY SESSION: </t>
    </r>
    <r>
      <rPr>
        <b/>
        <sz val="16"/>
        <color rgb="FF0070C0"/>
        <rFont val="Arial"/>
        <family val="2"/>
      </rPr>
      <t>09:00 - 11:00 (Theory)</t>
    </r>
  </si>
  <si>
    <t>T Netshisumbewa</t>
  </si>
  <si>
    <t>T Malebane, J Jordaan</t>
  </si>
  <si>
    <t>10-170 lab (110)</t>
  </si>
  <si>
    <t>K Mogapi, L Sekhaolelo, T Raphiri</t>
  </si>
  <si>
    <t>10-L41 lab (110), 10-L44 lab (110), 10-240 lab (55)</t>
  </si>
  <si>
    <t>10-138 lab (110), 10-120 lab (110)</t>
  </si>
  <si>
    <t>V Msimango</t>
  </si>
  <si>
    <t xml:space="preserve">Coordinator: V Booi </t>
  </si>
  <si>
    <t>T Nyawose, S Adebusola</t>
  </si>
  <si>
    <t>S Adebusola, S T Leholo</t>
  </si>
  <si>
    <t>I Machele</t>
  </si>
  <si>
    <t>TR Phihlela, P Msimanga, N Zuma, J Dehinbo</t>
  </si>
  <si>
    <t>A Khoza</t>
  </si>
  <si>
    <t>10-120 lab (110), 10-140 lab (110), 10-138 lab (110), 
10-170 lab (110), 10-L41 lab (110), 10-L44 lab (110),
10-232 lab (55), 10-233 lab (55), 10-240 lab (55),
10-246 lab (55), 10-248 lab (55)</t>
  </si>
  <si>
    <t>L  Sekhaolelo, F Hattingh, T Netshisumbewa,
Z Msiza, W Birch</t>
  </si>
  <si>
    <t>BT Mabunda, R Mokhari</t>
  </si>
  <si>
    <r>
      <t xml:space="preserve">FIRST PRACTICAL SESSION: </t>
    </r>
    <r>
      <rPr>
        <b/>
        <sz val="16"/>
        <color indexed="10"/>
        <rFont val="Arial"/>
        <family val="2"/>
      </rPr>
      <t>08:30 - 11:30 (Prac)</t>
    </r>
  </si>
  <si>
    <r>
      <t xml:space="preserve">SECOND PRACTICAL SESSION: </t>
    </r>
    <r>
      <rPr>
        <b/>
        <sz val="16"/>
        <color indexed="10"/>
        <rFont val="Arial"/>
        <family val="2"/>
      </rPr>
      <t>12:30 - 15:30 (Prac)</t>
    </r>
  </si>
  <si>
    <t>None</t>
  </si>
  <si>
    <t>K Stone</t>
  </si>
  <si>
    <t>RD Mabena</t>
  </si>
  <si>
    <t>Ntsoane, Magudulela, IA Abraham-Samgeorge</t>
  </si>
  <si>
    <t>C Kgoetiane</t>
  </si>
  <si>
    <t>SP Maswikaneng</t>
  </si>
  <si>
    <t>J Dehinbo, K Mogapi, TR Phihlela,
C Phiri, C Lepota, V Masuku, A Khoza</t>
  </si>
  <si>
    <t>IA Abraham-Samgeorge, CH Kgoetiane</t>
  </si>
  <si>
    <t>T Kolobe</t>
  </si>
  <si>
    <t>K Mokgomole, BN Mahlangu, MR Shibambu</t>
  </si>
  <si>
    <t>TE Mathonsi (HoD)</t>
  </si>
  <si>
    <t>T Muchenje</t>
  </si>
  <si>
    <t>T Leholo, M Chauke</t>
  </si>
  <si>
    <t>D Alake, K Stone</t>
  </si>
  <si>
    <t>L Brand</t>
  </si>
  <si>
    <t>S Papi</t>
  </si>
  <si>
    <t>C Mogoloa, SM Mahlangu</t>
  </si>
  <si>
    <t>AM Segooa, TS Adeyelure, Ntsoane</t>
  </si>
  <si>
    <t>DD Malebana</t>
  </si>
  <si>
    <t>Z Mahlobogwane, I Machele</t>
  </si>
  <si>
    <t>T C Tshipota</t>
  </si>
  <si>
    <t>Z Mahlobogwane, T Kolobe</t>
  </si>
  <si>
    <t>T Matshiba</t>
  </si>
  <si>
    <t>T Tshilongamulenzhe</t>
  </si>
  <si>
    <t>AM Segooa, R Mogase, Magudulela</t>
  </si>
  <si>
    <t>N Khoza</t>
  </si>
  <si>
    <t>Magudulela TS</t>
  </si>
  <si>
    <t>CH Kgoetiane, Magudulela , Ntsoane</t>
  </si>
  <si>
    <t>C Nawej</t>
  </si>
  <si>
    <t>Dr N Nahri, M Kekane</t>
  </si>
  <si>
    <t>ADVANCED DIPLOMA</t>
  </si>
  <si>
    <t>Test Time</t>
  </si>
  <si>
    <t>Course</t>
  </si>
  <si>
    <t>Subject</t>
  </si>
  <si>
    <t>Subject Name</t>
  </si>
  <si>
    <t>Name</t>
  </si>
  <si>
    <t>Num Studs</t>
  </si>
  <si>
    <t>Test Venue(s)</t>
  </si>
  <si>
    <t>Comments</t>
  </si>
  <si>
    <t>Dept Computer Science:</t>
  </si>
  <si>
    <t>08:30 - 11:30</t>
  </si>
  <si>
    <t>ADRS20</t>
  </si>
  <si>
    <t>IDA117V</t>
  </si>
  <si>
    <t>Introduction to Data Science</t>
  </si>
  <si>
    <t>10-138 lab, 10-L44 lab</t>
  </si>
  <si>
    <t>ADMC20</t>
  </si>
  <si>
    <t>IMD117V</t>
  </si>
  <si>
    <t>Instructional Multimedia Design</t>
  </si>
  <si>
    <t>Dr. E Van Wyk</t>
  </si>
  <si>
    <t>14-G108 (120)</t>
  </si>
  <si>
    <t>Dept Computer Systems Engineering:</t>
  </si>
  <si>
    <t>ADYE20</t>
  </si>
  <si>
    <t>EER117V</t>
  </si>
  <si>
    <t xml:space="preserve">Engineering Ethics and Practices </t>
  </si>
  <si>
    <t>14-1113 (170)</t>
  </si>
  <si>
    <t>CES117V</t>
  </si>
  <si>
    <t>Computer Emerging Techonologies</t>
  </si>
  <si>
    <t>K Rambau</t>
  </si>
  <si>
    <t>Dept Informatics:</t>
  </si>
  <si>
    <t>ADIF20</t>
  </si>
  <si>
    <t>IAR117V</t>
  </si>
  <si>
    <t>Information Systems Architecture</t>
  </si>
  <si>
    <t>14-1108 (223)</t>
  </si>
  <si>
    <t>ISR117V</t>
  </si>
  <si>
    <t>Information System Research</t>
  </si>
  <si>
    <t>Dr. A Segooa</t>
  </si>
  <si>
    <t>Dept Information Technology:</t>
  </si>
  <si>
    <t>ADIT21</t>
  </si>
  <si>
    <t>PNB117V</t>
  </si>
  <si>
    <t>Computer Networks IVB</t>
  </si>
  <si>
    <t>14-G95 (170)</t>
  </si>
  <si>
    <t>Theory Total:</t>
  </si>
  <si>
    <t>POSTGRADUATE DIPLOMA</t>
  </si>
  <si>
    <t>Session</t>
  </si>
  <si>
    <t>PDRS21</t>
  </si>
  <si>
    <t>ACX118G</t>
  </si>
  <si>
    <t>Algorithms and Complexity</t>
  </si>
  <si>
    <t>PDMC21/PDRS21</t>
  </si>
  <si>
    <t>RMR118G/
RMC118G</t>
  </si>
  <si>
    <t>Research Methodologies</t>
  </si>
  <si>
    <t>PDYE21</t>
  </si>
  <si>
    <t>AIS118G</t>
  </si>
  <si>
    <t>PDIF21</t>
  </si>
  <si>
    <t>KWM118G</t>
  </si>
  <si>
    <t>Advanced Knowledge Management</t>
  </si>
  <si>
    <t>Dr. CH Kgoetiane</t>
  </si>
  <si>
    <t>ARP108G/
ARP118R</t>
  </si>
  <si>
    <t>Advanced Research Project</t>
  </si>
  <si>
    <t>Dr TJ Lavhengwa</t>
  </si>
  <si>
    <t>Project - Take Part?</t>
  </si>
  <si>
    <t>PDIT21</t>
  </si>
  <si>
    <t>CN1118G</t>
  </si>
  <si>
    <t>Computer Networks 501</t>
  </si>
  <si>
    <t>Khosa TN</t>
  </si>
  <si>
    <t>SDN118G</t>
  </si>
  <si>
    <t>Software Defined Networks 502</t>
  </si>
  <si>
    <t>11:30 - 14:30</t>
  </si>
  <si>
    <t>DSD117V</t>
  </si>
  <si>
    <t>Distributed Programming</t>
  </si>
  <si>
    <t>GPR117V</t>
  </si>
  <si>
    <t>Advanced Games Programming</t>
  </si>
  <si>
    <t>L Baloyi</t>
  </si>
  <si>
    <t>EGD107V/ EGD117R</t>
  </si>
  <si>
    <t>Engineering Project Design</t>
  </si>
  <si>
    <t>CAO117V</t>
  </si>
  <si>
    <t>Computer Architecture and Organisation</t>
  </si>
  <si>
    <t>ITP117V</t>
  </si>
  <si>
    <t>Information Technology Project Management</t>
  </si>
  <si>
    <t>SIS117V</t>
  </si>
  <si>
    <t>Strategic Information Systems</t>
  </si>
  <si>
    <t>PNA117V</t>
  </si>
  <si>
    <t>Computer Networks IVA</t>
  </si>
  <si>
    <t>Mr E Letsoalo</t>
  </si>
  <si>
    <t>PDMC21</t>
  </si>
  <si>
    <t>ARI118G</t>
  </si>
  <si>
    <t>Artificial Intelligence</t>
  </si>
  <si>
    <t xml:space="preserve">DSC118G </t>
  </si>
  <si>
    <t>Data Science and Big Data Analytics</t>
  </si>
  <si>
    <t>Research Project</t>
  </si>
  <si>
    <t>CNE118G</t>
  </si>
  <si>
    <t>Advanced Computer Networks</t>
  </si>
  <si>
    <t>RIF118G</t>
  </si>
  <si>
    <t>Research Methodology</t>
  </si>
  <si>
    <t>Dr TS Adeyelure</t>
  </si>
  <si>
    <t xml:space="preserve">DFO118G </t>
  </si>
  <si>
    <t>Digital Forensics V</t>
  </si>
  <si>
    <t>14:30 - 17:30</t>
  </si>
  <si>
    <t>TCR117V</t>
  </si>
  <si>
    <t>Theoretical Computer Science</t>
  </si>
  <si>
    <t>MPD117V</t>
  </si>
  <si>
    <t>Multimedia Project Design</t>
  </si>
  <si>
    <t xml:space="preserve">H Retief </t>
  </si>
  <si>
    <t>ISJ107V / ISJ117R</t>
  </si>
  <si>
    <t>Integrated Software Projects</t>
  </si>
  <si>
    <t>MCP107V</t>
  </si>
  <si>
    <t>Multimedia Project</t>
  </si>
  <si>
    <t>EBD117V</t>
  </si>
  <si>
    <t xml:space="preserve">Embedded Systems Design </t>
  </si>
  <si>
    <t>IIS117V</t>
  </si>
  <si>
    <t>Intelligent Industrial Systems</t>
  </si>
  <si>
    <t>WNE117V</t>
  </si>
  <si>
    <t>Wireless Networks IV</t>
  </si>
  <si>
    <t>TN Khosa</t>
  </si>
  <si>
    <t>Research Project IV</t>
  </si>
  <si>
    <t>Dr T Muchenje
(and G Komba)</t>
  </si>
  <si>
    <t>PDRS21 / PDMC21</t>
  </si>
  <si>
    <t xml:space="preserve">FRD118G </t>
  </si>
  <si>
    <t>Formal Aspects of Computing</t>
  </si>
  <si>
    <t>VEA118G</t>
  </si>
  <si>
    <t xml:space="preserve"> Virtual Environment Application</t>
  </si>
  <si>
    <t>IDD108G / IDD118R</t>
  </si>
  <si>
    <t>Iindustrial Research Project</t>
  </si>
  <si>
    <t>CES118G</t>
  </si>
  <si>
    <t>Computer Emerging Technologies</t>
  </si>
  <si>
    <t xml:space="preserve">SPG118G </t>
  </si>
  <si>
    <t>Security Policy and Governance 501</t>
  </si>
  <si>
    <t>Dr. RT Hans (HoD)</t>
  </si>
  <si>
    <t>Prof Du (HOD)</t>
  </si>
  <si>
    <t>Dan Masethe</t>
  </si>
  <si>
    <t>RIT117V / RIT117R</t>
  </si>
  <si>
    <t>10-212 (80)</t>
  </si>
  <si>
    <t>CATF16D</t>
  </si>
  <si>
    <t>E Khoza</t>
  </si>
  <si>
    <r>
      <t>PPBF15D / PPB115D / PPGF15D / PPG115D
(</t>
    </r>
    <r>
      <rPr>
        <b/>
        <sz val="12"/>
        <color rgb="FFFF0000"/>
        <rFont val="Arial"/>
        <family val="2"/>
      </rPr>
      <t>Session 1</t>
    </r>
    <r>
      <rPr>
        <sz val="12"/>
        <color rgb="FFFF0000"/>
        <rFont val="Arial"/>
        <family val="2"/>
      </rPr>
      <t>: All the campuses</t>
    </r>
    <r>
      <rPr>
        <sz val="12"/>
        <rFont val="Arial"/>
        <family val="2"/>
      </rPr>
      <t>)</t>
    </r>
  </si>
  <si>
    <r>
      <t>PPBF15D / PPB115D / PPGF15D / PPG115D
(</t>
    </r>
    <r>
      <rPr>
        <b/>
        <sz val="12"/>
        <color rgb="FFFF0000"/>
        <rFont val="Arial"/>
        <family val="2"/>
      </rPr>
      <t>Session 2</t>
    </r>
    <r>
      <rPr>
        <sz val="12"/>
        <color rgb="FFFF0000"/>
        <rFont val="Arial"/>
        <family val="2"/>
      </rPr>
      <t>: eMalahleni campus only!</t>
    </r>
    <r>
      <rPr>
        <sz val="12"/>
        <rFont val="Arial"/>
        <family val="2"/>
      </rPr>
      <t>)</t>
    </r>
  </si>
  <si>
    <t>E Letsoalo, Z Mapundu</t>
  </si>
  <si>
    <t>10-120 lab (110), 10-140 lab (110), 10-138 lab (110), 
10-L41 lab (110), 10-L44 lab (110),
10-232 lab (55), 10-233 lab (55), 10-240 lab (55), 
10-246 lab (55), 10-248 lab (55), 10-G20 lab (55),
10-G28 lab (55), 10-G29 lab (55), 10-G34  lab (55), 
10-L21A lab (55), 10-L21B lab (55)</t>
  </si>
  <si>
    <t>PPA115D / TRO115D</t>
  </si>
  <si>
    <t>DPIF20/DPMC20/DPRS20/DPIT20</t>
  </si>
  <si>
    <t>Coordinator: V Booi</t>
  </si>
  <si>
    <t>10-170 lab (110), 10-G34 lab (55)</t>
  </si>
  <si>
    <t>Coordinator: WV Kambale</t>
  </si>
  <si>
    <t>Class Test</t>
  </si>
  <si>
    <t>10-120 lab (110), 10-138 lab (110)</t>
  </si>
  <si>
    <t>Semester Test</t>
  </si>
  <si>
    <t>10-L44 lab</t>
  </si>
  <si>
    <t>10-L41 lab (110)</t>
  </si>
  <si>
    <t>10-120 lab (110), 10-140 lab (110), 10-138 lab (110), 
10-170 (110), 10-L44 lab (110),
10-232 lab (55), 10-233 lab (55), 10-240 lab (55), 
10-246 lab (55), 10-248 lab (55), 10-G20 lab (55),
10-G28 lab (55), 10-G29 lab (55), 10-G34  lab (55), 
10-L21A lab (55), 10-L21B lab (55)</t>
  </si>
  <si>
    <t>10-L44 lab (110)</t>
  </si>
  <si>
    <t>10-120 lab (110), 10-140 lab (110), 10-138 lab (110), 
10-170 lab (110), 10-L41 lab (110), 
10-232 lab (55), 10-233 lab (55), 10-240 lab (55),
10-246 lab (55), 10-248 lab (55), 
10-G20 lab, 10-G28 lab, 10-G29 lab</t>
  </si>
  <si>
    <t>Dan Masethe/
T Raphiri / C Lepota</t>
  </si>
  <si>
    <t>Prof AA Alonge</t>
  </si>
  <si>
    <t>Dr. S Mamorobela</t>
  </si>
  <si>
    <t>10-138 lab, 10-140 lab</t>
  </si>
  <si>
    <t>H Mashego</t>
  </si>
  <si>
    <t>A Zitha</t>
  </si>
  <si>
    <t>SEA117V</t>
  </si>
  <si>
    <t xml:space="preserve">Computer Security IVA </t>
  </si>
  <si>
    <t xml:space="preserve">Makondo N </t>
  </si>
  <si>
    <t>Dr. TJ Ramabu/ 
F Hattingh</t>
  </si>
  <si>
    <t>Dr. Bertie Buitendag/
L Baloyi/
C Lepota</t>
  </si>
  <si>
    <t>K Masita</t>
  </si>
  <si>
    <t>S Mndiya</t>
  </si>
  <si>
    <t>Dr AAK Buitendag /
Dr. TJ Ramabu</t>
  </si>
  <si>
    <t>Dr. D Chuene/
Dr. RT Hans 
Dr. TJ Ramabu</t>
  </si>
  <si>
    <t>RRS108G / 
MRP108G / 
RRS118R / 
MRP118R</t>
  </si>
  <si>
    <t>Advanced Artificial Intelligent</t>
  </si>
  <si>
    <t>D Mothilal</t>
  </si>
  <si>
    <t>CSY118G</t>
  </si>
  <si>
    <t>Computer Security 501</t>
  </si>
  <si>
    <t xml:space="preserve">E Baloyi </t>
  </si>
  <si>
    <t xml:space="preserve">Dr H Kobo </t>
  </si>
  <si>
    <t>S Moganedi</t>
  </si>
  <si>
    <t>Dr A Masethe</t>
  </si>
  <si>
    <t>29</t>
  </si>
  <si>
    <t>10-140 lab</t>
  </si>
  <si>
    <t>13-G01 (70)</t>
  </si>
  <si>
    <t>13-G05 (70)</t>
  </si>
  <si>
    <t>13-G27 (70)</t>
  </si>
  <si>
    <t>10-170 lab, 10-232 lab</t>
  </si>
  <si>
    <t>13-G40 (135)</t>
  </si>
  <si>
    <t>Coordinator: MI Rammutla</t>
  </si>
  <si>
    <t>Coordinator: MJ Mathiane</t>
  </si>
  <si>
    <t>Coordinator: Dr MC Setati</t>
  </si>
  <si>
    <r>
      <t xml:space="preserve">SECOND THEORY SESSION: </t>
    </r>
    <r>
      <rPr>
        <b/>
        <sz val="16"/>
        <color indexed="30"/>
        <rFont val="Arial"/>
        <family val="2"/>
      </rPr>
      <t>11:30 - 13:30 (Theory)</t>
    </r>
  </si>
  <si>
    <r>
      <rPr>
        <b/>
        <sz val="16"/>
        <color theme="5" tint="-0.499984740745262"/>
        <rFont val="Arial"/>
        <family val="2"/>
      </rPr>
      <t>PRACTICAL SESSION</t>
    </r>
    <r>
      <rPr>
        <b/>
        <sz val="16"/>
        <rFont val="Arial"/>
        <family val="2"/>
      </rPr>
      <t xml:space="preserve">: </t>
    </r>
    <r>
      <rPr>
        <b/>
        <sz val="16"/>
        <color indexed="10"/>
        <rFont val="Arial"/>
        <family val="2"/>
      </rPr>
      <t>14:00 - 17:00 (Prac)</t>
    </r>
  </si>
  <si>
    <t>10-120 lab (110), 10-140 lab (110), 10-138 lab (110), 
10-170 (110), 10-L41 lab (110), 10-L44 lab (110)</t>
  </si>
  <si>
    <r>
      <t xml:space="preserve">PPAF05D / TROF05D
</t>
    </r>
    <r>
      <rPr>
        <sz val="12"/>
        <color rgb="FFFF0000"/>
        <rFont val="Arial"/>
        <family val="2"/>
      </rPr>
      <t>(</t>
    </r>
    <r>
      <rPr>
        <b/>
        <sz val="12"/>
        <color rgb="FFFF0000"/>
        <rFont val="Arial"/>
        <family val="2"/>
      </rPr>
      <t>Session 1</t>
    </r>
    <r>
      <rPr>
        <sz val="12"/>
        <color rgb="FFFF0000"/>
        <rFont val="Arial"/>
        <family val="2"/>
      </rPr>
      <t>: All the campuses)</t>
    </r>
  </si>
  <si>
    <r>
      <t xml:space="preserve">PPAF05D / TROF05D
</t>
    </r>
    <r>
      <rPr>
        <sz val="12"/>
        <color rgb="FFFF0000"/>
        <rFont val="Arial"/>
        <family val="2"/>
      </rPr>
      <t>(</t>
    </r>
    <r>
      <rPr>
        <b/>
        <sz val="12"/>
        <color rgb="FFFF0000"/>
        <rFont val="Arial"/>
        <family val="2"/>
      </rPr>
      <t>Session 2</t>
    </r>
    <r>
      <rPr>
        <sz val="12"/>
        <color rgb="FFFF0000"/>
        <rFont val="Arial"/>
        <family val="2"/>
      </rPr>
      <t>: e'Malahleni campus only - if necessary!)</t>
    </r>
  </si>
  <si>
    <t>10-G28 (55)</t>
  </si>
  <si>
    <r>
      <t xml:space="preserve">THIRD THEORY SESSION: </t>
    </r>
    <r>
      <rPr>
        <b/>
        <sz val="16"/>
        <color indexed="30"/>
        <rFont val="Arial"/>
        <family val="2"/>
      </rPr>
      <t>14:00 - 16:00 (Theory)</t>
    </r>
  </si>
  <si>
    <t>FACULTY OF ICT - Sem 2 2026: Semester Test Week 2 (Wed 30 Sep to Fri 9 Oct) - Preliminary</t>
  </si>
  <si>
    <t>SAT 3 OCT - SEM TEST WEEK 2: ADV DIPLOMA AND PGRAD DIPLOMA SESSION 1 - SEE SECOND SHEET FOR DETAIL</t>
  </si>
  <si>
    <t>SAT 10 OCT - SEM TEST WEEK 2: ADV DIPLOMA AND PGRAD DIPLOMA SESSION 2 - SEE SECOND SHEET FOR DETAIL</t>
  </si>
  <si>
    <t>SPECIAL SESSION 1: MON 12 OCT</t>
  </si>
  <si>
    <t>SAT 17 OCT - SEM TEST WEEK 2: ADV DIPLOMA AND PGRAD DIPLOMA SESSION 3 - SEE SECOND SHEET FOR DETAIL</t>
  </si>
  <si>
    <t>DAY 1: WED 30 SEP</t>
  </si>
  <si>
    <r>
      <t xml:space="preserve">PPAF05D / TROF05D
(One </t>
    </r>
    <r>
      <rPr>
        <b/>
        <sz val="12"/>
        <rFont val="Arial"/>
        <family val="2"/>
      </rPr>
      <t xml:space="preserve">Session </t>
    </r>
    <r>
      <rPr>
        <sz val="12"/>
        <rFont val="Arial"/>
        <family val="2"/>
      </rPr>
      <t>: All the campuses)</t>
    </r>
  </si>
  <si>
    <t>14-G108 (120), 14-G95 (170)</t>
  </si>
  <si>
    <t>14-1107 (110), 14-1108 (223), 14-1113 (170)</t>
  </si>
  <si>
    <t>14-G108 (120), 14-G95 (170), 13-G40 (135)</t>
  </si>
  <si>
    <t>14-1107 (110), 14-1108 (223)</t>
  </si>
  <si>
    <t>14-1113 (170), 13-G40 (135)</t>
  </si>
  <si>
    <t>14-1108 (223), 14-1113 (170)</t>
  </si>
  <si>
    <t>14-G108 (120), 14-G95 (170), 14-1107 (110), 13-G40 (135)</t>
  </si>
  <si>
    <t>14-1108 (223), 14-1113 (170), 14-1107 (110)</t>
  </si>
  <si>
    <t>14-1108 (223), 14-1113 (170), 14-1107 (110),
14-G108 (120), 14-G95 (170)</t>
  </si>
  <si>
    <t>13-G40 (135), 13-G27 (70), 13-G05 (70)</t>
  </si>
  <si>
    <t>14-1108 (223), 14-1107 (110)</t>
  </si>
  <si>
    <t>10-L08 (90), 10-L14 (60)</t>
  </si>
  <si>
    <t>DAY 2: THU 1 OCT</t>
  </si>
  <si>
    <t>DAY 3: FRI 2 OCT</t>
  </si>
  <si>
    <t>DAY 4: MON 5 OCT</t>
  </si>
  <si>
    <t>DAY 5: TUE 6 OCT</t>
  </si>
  <si>
    <t>DAY 6: WED 7 OCT</t>
  </si>
  <si>
    <t>DAY 7: THU 8 OCT</t>
  </si>
  <si>
    <t>DAY 8: FRI 9 OCT</t>
  </si>
  <si>
    <t>14-1108 (223), 14-1113 (170), 14-1107 (110), 
14-G108 (120), 14-G95 (170)
13-G01 (70), 13-G05 (70), 13-G27 (70)
10-143 (51), 10-148 (78), 10-149 (76)
10-152 (72),10-253/251 (71), 10-G67 (75)
10-L08 (90), 10-L14 (60), 10-L32 (60)
10-L35 (60), 10-L56 (80), 10-L57 (80)
10-L66 (63)</t>
  </si>
  <si>
    <t xml:space="preserve"> 14-G95 (170), 14-G108 (120)</t>
  </si>
  <si>
    <t>14-1113 (170), 14-1107 (110)</t>
  </si>
  <si>
    <t>14-1108 (223), 14-1113 (170),</t>
  </si>
  <si>
    <t>13-G40 (135), 13-G27 (70)</t>
  </si>
  <si>
    <t>14-1113 (170), 14-G108 (120)</t>
  </si>
  <si>
    <t>14-G95 (170), 13-G05 (70)</t>
  </si>
  <si>
    <t>SAT 3 OCT SESSION 1 ((T) 08:30 - 11:30, (P) 08:30 - 11:30):</t>
  </si>
  <si>
    <t>SAT 10 OCT SESSION 2 ((P) 11:30 - 14:30, (T) 11:30-14:30):</t>
  </si>
  <si>
    <t>SAT 17 OCT SESSION 3 ((T) 14:30 - 17:30, (P) 14:30-17:30):</t>
  </si>
  <si>
    <t>Advanced Diploma / Postgraduate Diploma Semester Test 2 Timetable: 2026 Sem 2 - Final</t>
  </si>
  <si>
    <t xml:space="preserve">SEMESTER TEST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</si>
</sst>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Aptos Narrow"/>
      <family val="2"/>
      <scheme val="minor"/>
    </font>
    <font>
      <b/>
      <sz val="22"/>
      <name val="Arial"/>
      <family val="2"/>
    </font>
    <font>
      <b/>
      <sz val="20"/>
      <name val="Arial"/>
      <family val="2"/>
    </font>
    <font>
      <b/>
      <sz val="12"/>
      <name val="Arial"/>
      <family val="2"/>
    </font>
    <font>
      <sz val="12"/>
      <name val="Arial"/>
      <family val="2"/>
    </font>
    <font>
      <b/>
      <sz val="16"/>
      <color rgb="FFFF0000"/>
      <name val="Arial"/>
      <family val="2"/>
    </font>
    <font>
      <sz val="12"/>
      <color indexed="10"/>
      <name val="Arial"/>
      <family val="2"/>
    </font>
    <font>
      <b/>
      <sz val="16"/>
      <name val="Arial"/>
      <family val="2"/>
    </font>
    <font>
      <b/>
      <sz val="16"/>
      <color indexed="10"/>
      <name val="Arial"/>
      <family val="2"/>
    </font>
    <font>
      <b/>
      <sz val="12"/>
      <color rgb="FFFF0000"/>
      <name val="Arial"/>
      <family val="2"/>
    </font>
    <font>
      <b/>
      <sz val="16"/>
      <color indexed="30"/>
      <name val="Arial"/>
      <family val="2"/>
    </font>
    <font>
      <strike/>
      <sz val="12"/>
      <name val="Arial"/>
      <family val="2"/>
    </font>
    <font>
      <b/>
      <strike/>
      <sz val="12"/>
      <name val="Arial"/>
      <family val="2"/>
    </font>
    <font>
      <b/>
      <sz val="11"/>
      <color theme="1"/>
      <name val="Aptos Narrow"/>
      <family val="2"/>
      <scheme val="minor"/>
    </font>
    <font>
      <b/>
      <sz val="20"/>
      <color rgb="FFFF0000"/>
      <name val="Arial"/>
      <family val="2"/>
    </font>
    <font>
      <sz val="12"/>
      <color rgb="FFFF0000"/>
      <name val="Arial"/>
      <family val="2"/>
    </font>
    <font>
      <b/>
      <sz val="16"/>
      <color rgb="FF0070C0"/>
      <name val="Arial"/>
      <family val="2"/>
    </font>
    <font>
      <b/>
      <sz val="15"/>
      <name val="Arial"/>
      <family val="2"/>
    </font>
    <font>
      <b/>
      <sz val="18"/>
      <color rgb="FFFF0000"/>
      <name val="Arial"/>
      <family val="2"/>
    </font>
    <font>
      <b/>
      <sz val="10"/>
      <color rgb="FFFF0000"/>
      <name val="ARIAL"/>
      <family val="2"/>
    </font>
    <font>
      <b/>
      <sz val="10"/>
      <name val="Arial"/>
      <family val="2"/>
    </font>
    <font>
      <sz val="10"/>
      <name val="Arial"/>
      <family val="2"/>
    </font>
    <font>
      <b/>
      <sz val="14"/>
      <name val="Arial"/>
      <family val="2"/>
    </font>
    <font>
      <b/>
      <sz val="16"/>
      <color theme="1"/>
      <name val="Aptos Narrow"/>
      <family val="2"/>
      <scheme val="minor"/>
    </font>
    <font>
      <sz val="8"/>
      <name val="Arial"/>
      <family val="2"/>
    </font>
    <font>
      <sz val="8"/>
      <color theme="1"/>
      <name val="Arial"/>
      <family val="2"/>
    </font>
    <font>
      <sz val="8"/>
      <color rgb="FF000000"/>
      <name val="Arial"/>
      <family val="2"/>
    </font>
    <font>
      <b/>
      <sz val="8"/>
      <color rgb="FFFF0000"/>
      <name val="Arial"/>
      <family val="2"/>
    </font>
    <font>
      <b/>
      <sz val="11"/>
      <name val="Aptos Narrow"/>
      <family val="2"/>
      <scheme val="minor"/>
    </font>
    <font>
      <b/>
      <sz val="8"/>
      <name val="Arial"/>
      <family val="2"/>
    </font>
    <font>
      <b/>
      <sz val="9"/>
      <color rgb="FFFF0000"/>
      <name val="Arial"/>
      <family val="2"/>
    </font>
    <font>
      <sz val="8"/>
      <color theme="1"/>
      <name val="Aptos Narrow"/>
      <family val="2"/>
      <scheme val="minor"/>
    </font>
    <font>
      <sz val="16"/>
      <name val="Arial"/>
      <family val="2"/>
    </font>
    <font>
      <b/>
      <sz val="20"/>
      <color theme="5" tint="-0.249977111117893"/>
      <name val="Arial"/>
      <family val="2"/>
    </font>
    <font>
      <sz val="11"/>
      <color rgb="FFFF0000"/>
      <name val="Aptos Narrow"/>
      <family val="2"/>
      <scheme val="minor"/>
    </font>
    <font>
      <sz val="16"/>
      <color rgb="FFFF0000"/>
      <name val="Arial"/>
      <family val="2"/>
    </font>
    <font>
      <sz val="8"/>
      <color rgb="FFFF0000"/>
      <name val="Arial"/>
      <family val="2"/>
    </font>
    <font>
      <b/>
      <sz val="11"/>
      <color rgb="FFFF0000"/>
      <name val="Aptos Narrow"/>
      <family val="2"/>
      <scheme val="minor"/>
    </font>
    <font>
      <b/>
      <sz val="16"/>
      <name val="Aptos Narrow"/>
      <family val="2"/>
      <scheme val="minor"/>
    </font>
    <font>
      <b/>
      <sz val="16"/>
      <color theme="5" tint="-0.499984740745262"/>
      <name val="Arial"/>
      <family val="2"/>
    </font>
  </fonts>
  <fills count="14">
    <fill>
      <patternFill patternType="none"/>
    </fill>
    <fill>
      <patternFill patternType="gray125"/>
    </fill>
    <fill>
      <patternFill patternType="solid">
        <fgColor rgb="FFFFC000"/>
        <bgColor indexed="64"/>
      </patternFill>
    </fill>
    <fill>
      <patternFill patternType="solid">
        <fgColor theme="5" tint="0.59999389629810485"/>
        <bgColor indexed="64"/>
      </patternFill>
    </fill>
    <fill>
      <patternFill patternType="solid">
        <fgColor theme="0"/>
        <bgColor indexed="64"/>
      </patternFill>
    </fill>
    <fill>
      <patternFill patternType="solid">
        <fgColor indexed="2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66FF"/>
        <bgColor indexed="64"/>
      </patternFill>
    </fill>
    <fill>
      <patternFill patternType="solid">
        <fgColor rgb="FF99FF33"/>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7" tint="0.59999389629810485"/>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medium">
        <color indexed="64"/>
      </right>
      <top/>
      <bottom/>
      <diagonal/>
    </border>
    <border>
      <left style="thin">
        <color indexed="64"/>
      </left>
      <right style="medium">
        <color indexed="64"/>
      </right>
      <top/>
      <bottom/>
      <diagonal/>
    </border>
  </borders>
  <cellStyleXfs count="2">
    <xf numFmtId="0" fontId="0" fillId="0" borderId="0"/>
    <xf numFmtId="0" fontId="21" fillId="0" borderId="0"/>
  </cellStyleXfs>
  <cellXfs count="452">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2" fillId="0" borderId="0" xfId="0" applyFont="1"/>
    <xf numFmtId="0" fontId="2" fillId="2" borderId="1" xfId="0" applyFont="1" applyFill="1" applyBorder="1"/>
    <xf numFmtId="0" fontId="2" fillId="2" borderId="1" xfId="0" applyFont="1" applyFill="1" applyBorder="1" applyAlignment="1">
      <alignment horizontal="center"/>
    </xf>
    <xf numFmtId="0" fontId="3" fillId="2" borderId="1" xfId="0" applyFont="1" applyFill="1" applyBorder="1" applyAlignment="1">
      <alignment horizontal="center" vertical="center"/>
    </xf>
    <xf numFmtId="0" fontId="4" fillId="2" borderId="1" xfId="0" applyFont="1" applyFill="1" applyBorder="1"/>
    <xf numFmtId="0" fontId="5" fillId="2" borderId="1" xfId="0" applyFont="1" applyFill="1" applyBorder="1" applyAlignment="1">
      <alignment horizontal="center"/>
    </xf>
    <xf numFmtId="0" fontId="4" fillId="0" borderId="1" xfId="0" quotePrefix="1" applyFont="1" applyBorder="1" applyAlignment="1">
      <alignment horizontal="center"/>
    </xf>
    <xf numFmtId="0" fontId="6" fillId="0" borderId="1" xfId="0" applyFont="1" applyBorder="1"/>
    <xf numFmtId="0" fontId="4" fillId="0" borderId="1" xfId="0" applyFont="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wrapText="1"/>
    </xf>
    <xf numFmtId="0" fontId="3" fillId="3" borderId="1" xfId="0" applyFont="1" applyFill="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9"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5" fillId="0" borderId="1" xfId="0" applyFont="1" applyBorder="1" applyAlignment="1">
      <alignment horizontal="center"/>
    </xf>
    <xf numFmtId="0" fontId="3" fillId="0" borderId="1" xfId="0" applyFont="1" applyBorder="1" applyAlignment="1">
      <alignment horizontal="left"/>
    </xf>
    <xf numFmtId="0" fontId="3" fillId="4" borderId="1" xfId="0" applyFont="1" applyFill="1" applyBorder="1" applyAlignment="1">
      <alignment horizontal="left"/>
    </xf>
    <xf numFmtId="0" fontId="3" fillId="4" borderId="1" xfId="0" applyFont="1" applyFill="1" applyBorder="1" applyAlignment="1">
      <alignment horizontal="left" wrapText="1"/>
    </xf>
    <xf numFmtId="0" fontId="3" fillId="4" borderId="1" xfId="0" applyFont="1" applyFill="1" applyBorder="1" applyAlignment="1">
      <alignment horizontal="center" vertical="center"/>
    </xf>
    <xf numFmtId="0" fontId="3" fillId="0" borderId="1" xfId="0" applyFont="1" applyBorder="1" applyAlignment="1">
      <alignment horizontal="left" wrapText="1"/>
    </xf>
    <xf numFmtId="0" fontId="9" fillId="0" borderId="1" xfId="0" applyFont="1" applyBorder="1" applyAlignment="1">
      <alignment horizontal="center"/>
    </xf>
    <xf numFmtId="0" fontId="3" fillId="5" borderId="1" xfId="0" applyFont="1" applyFill="1" applyBorder="1" applyAlignment="1">
      <alignment horizontal="left"/>
    </xf>
    <xf numFmtId="0" fontId="3" fillId="5" borderId="1" xfId="0" applyFont="1" applyFill="1" applyBorder="1" applyAlignment="1">
      <alignment horizontal="center"/>
    </xf>
    <xf numFmtId="0" fontId="3" fillId="5" borderId="1" xfId="0" applyFont="1" applyFill="1" applyBorder="1" applyAlignment="1">
      <alignment horizontal="center" wrapText="1"/>
    </xf>
    <xf numFmtId="0" fontId="3" fillId="6" borderId="1" xfId="0" applyFont="1" applyFill="1" applyBorder="1" applyAlignment="1">
      <alignment horizontal="center" vertical="center"/>
    </xf>
    <xf numFmtId="0" fontId="4" fillId="5" borderId="1" xfId="0" applyFont="1" applyFill="1" applyBorder="1" applyAlignment="1">
      <alignment horizontal="left"/>
    </xf>
    <xf numFmtId="0" fontId="9" fillId="7" borderId="1" xfId="0" applyFont="1" applyFill="1" applyBorder="1" applyAlignment="1">
      <alignment horizontal="center"/>
    </xf>
    <xf numFmtId="0" fontId="4" fillId="0" borderId="2" xfId="0" applyFont="1" applyBorder="1"/>
    <xf numFmtId="0" fontId="4" fillId="4" borderId="2" xfId="0" applyFont="1" applyFill="1" applyBorder="1"/>
    <xf numFmtId="0" fontId="4" fillId="0" borderId="1" xfId="0" applyFont="1" applyBorder="1" applyAlignment="1">
      <alignment horizontal="center" vertical="center"/>
    </xf>
    <xf numFmtId="0" fontId="3" fillId="4" borderId="1" xfId="0" applyFont="1" applyFill="1" applyBorder="1" applyAlignment="1">
      <alignment horizontal="center" vertical="center" wrapText="1"/>
    </xf>
    <xf numFmtId="0" fontId="4" fillId="0" borderId="1" xfId="0" applyFont="1" applyBorder="1" applyAlignment="1">
      <alignment horizontal="left" vertical="center"/>
    </xf>
    <xf numFmtId="0" fontId="4" fillId="4" borderId="1" xfId="0" applyFont="1" applyFill="1" applyBorder="1" applyAlignment="1">
      <alignment horizontal="left"/>
    </xf>
    <xf numFmtId="0" fontId="3" fillId="4" borderId="1" xfId="0" applyFont="1" applyFill="1" applyBorder="1" applyAlignment="1">
      <alignment horizontal="center"/>
    </xf>
    <xf numFmtId="0" fontId="4" fillId="4" borderId="1" xfId="0" applyFont="1" applyFill="1" applyBorder="1" applyAlignment="1">
      <alignment horizontal="center" vertical="center"/>
    </xf>
    <xf numFmtId="0" fontId="4" fillId="4" borderId="1" xfId="0" applyFont="1" applyFill="1" applyBorder="1" applyAlignment="1">
      <alignment horizontal="left" wrapText="1"/>
    </xf>
    <xf numFmtId="0" fontId="4" fillId="4" borderId="1" xfId="0" applyFont="1" applyFill="1" applyBorder="1" applyAlignment="1">
      <alignment horizontal="left" vertical="center"/>
    </xf>
    <xf numFmtId="0" fontId="4" fillId="0" borderId="1" xfId="0" applyFont="1" applyBorder="1" applyAlignment="1">
      <alignment vertical="center"/>
    </xf>
    <xf numFmtId="0" fontId="4" fillId="0" borderId="1" xfId="0" applyFont="1" applyBorder="1" applyAlignment="1">
      <alignment horizontal="left" vertical="center" wrapText="1"/>
    </xf>
    <xf numFmtId="0" fontId="3" fillId="8" borderId="1" xfId="0" applyFont="1" applyFill="1" applyBorder="1" applyAlignment="1">
      <alignment horizontal="center" wrapText="1"/>
    </xf>
    <xf numFmtId="0" fontId="9" fillId="8" borderId="1" xfId="0" applyFont="1" applyFill="1" applyBorder="1" applyAlignment="1">
      <alignment horizontal="center" vertical="center"/>
    </xf>
    <xf numFmtId="0" fontId="4" fillId="5" borderId="1" xfId="0" applyFont="1" applyFill="1" applyBorder="1" applyAlignment="1">
      <alignment horizontal="center"/>
    </xf>
    <xf numFmtId="0" fontId="4" fillId="5" borderId="1" xfId="0" applyFont="1" applyFill="1" applyBorder="1" applyAlignment="1">
      <alignment horizontal="center" wrapText="1"/>
    </xf>
    <xf numFmtId="0" fontId="4" fillId="4" borderId="3" xfId="0" applyFont="1" applyFill="1" applyBorder="1" applyAlignment="1">
      <alignment horizontal="left"/>
    </xf>
    <xf numFmtId="0" fontId="4" fillId="0" borderId="3" xfId="0" applyFont="1" applyBorder="1"/>
    <xf numFmtId="0" fontId="4" fillId="0" borderId="1" xfId="0" applyFont="1" applyBorder="1"/>
    <xf numFmtId="0" fontId="4" fillId="4" borderId="1" xfId="0" applyFont="1" applyFill="1" applyBorder="1" applyAlignment="1">
      <alignment vertical="center" wrapText="1"/>
    </xf>
    <xf numFmtId="0" fontId="9" fillId="0" borderId="0" xfId="0" applyFont="1" applyAlignment="1">
      <alignment horizontal="center"/>
    </xf>
    <xf numFmtId="0" fontId="4" fillId="0" borderId="0" xfId="0" applyFont="1"/>
    <xf numFmtId="0" fontId="3" fillId="0" borderId="0" xfId="0" applyFont="1" applyAlignment="1">
      <alignment horizontal="center"/>
    </xf>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0" fontId="11" fillId="0" borderId="0" xfId="0" applyFont="1"/>
    <xf numFmtId="0" fontId="4" fillId="0" borderId="0" xfId="0" applyFont="1" applyAlignment="1">
      <alignment vertical="center"/>
    </xf>
    <xf numFmtId="0" fontId="12" fillId="0" borderId="1" xfId="0" applyFont="1" applyBorder="1" applyAlignment="1">
      <alignment horizontal="center" vertical="center"/>
    </xf>
    <xf numFmtId="0" fontId="4" fillId="4" borderId="1" xfId="0" applyFont="1" applyFill="1" applyBorder="1" applyAlignment="1">
      <alignment horizontal="center"/>
    </xf>
    <xf numFmtId="0" fontId="7" fillId="9" borderId="4" xfId="0" applyFont="1" applyFill="1" applyBorder="1" applyAlignment="1">
      <alignment horizontal="left"/>
    </xf>
    <xf numFmtId="0" fontId="0" fillId="9" borderId="5" xfId="0" applyFill="1" applyBorder="1"/>
    <xf numFmtId="0" fontId="0" fillId="9" borderId="6" xfId="0" applyFill="1" applyBorder="1"/>
    <xf numFmtId="0" fontId="4" fillId="9" borderId="1" xfId="0" applyFont="1" applyFill="1" applyBorder="1" applyAlignment="1">
      <alignment horizontal="center"/>
    </xf>
    <xf numFmtId="0" fontId="3" fillId="9" borderId="1" xfId="0" applyFont="1" applyFill="1" applyBorder="1" applyAlignment="1">
      <alignment horizontal="center" vertical="center" wrapText="1"/>
    </xf>
    <xf numFmtId="0" fontId="4" fillId="9" borderId="1" xfId="0" applyFont="1" applyFill="1" applyBorder="1" applyAlignment="1">
      <alignment horizontal="center" wrapText="1"/>
    </xf>
    <xf numFmtId="0" fontId="4" fillId="9" borderId="1" xfId="0" applyFont="1" applyFill="1" applyBorder="1"/>
    <xf numFmtId="0" fontId="9" fillId="4" borderId="1" xfId="0" applyFont="1" applyFill="1" applyBorder="1" applyAlignment="1">
      <alignment horizontal="center"/>
    </xf>
    <xf numFmtId="0" fontId="3" fillId="8" borderId="1" xfId="0" applyFont="1" applyFill="1" applyBorder="1" applyAlignment="1">
      <alignment horizontal="center" vertical="center" wrapText="1"/>
    </xf>
    <xf numFmtId="0" fontId="4" fillId="0" borderId="0" xfId="0" applyFont="1" applyAlignment="1">
      <alignment horizontal="center"/>
    </xf>
    <xf numFmtId="0" fontId="4" fillId="0" borderId="0" xfId="0" applyFont="1" applyAlignment="1">
      <alignment horizontal="center" wrapText="1"/>
    </xf>
    <xf numFmtId="0" fontId="4" fillId="0" borderId="3" xfId="0" applyFont="1" applyBorder="1" applyAlignment="1">
      <alignment horizontal="left"/>
    </xf>
    <xf numFmtId="0" fontId="4" fillId="4" borderId="1" xfId="0" applyFont="1" applyFill="1" applyBorder="1" applyAlignment="1">
      <alignment vertical="center"/>
    </xf>
    <xf numFmtId="0" fontId="4" fillId="10" borderId="1" xfId="0" quotePrefix="1" applyFont="1" applyFill="1" applyBorder="1" applyAlignment="1">
      <alignment horizontal="center" vertical="center"/>
    </xf>
    <xf numFmtId="0" fontId="4" fillId="4" borderId="1" xfId="0" quotePrefix="1" applyFont="1" applyFill="1" applyBorder="1" applyAlignment="1">
      <alignment horizontal="center" vertical="center"/>
    </xf>
    <xf numFmtId="0" fontId="4" fillId="6" borderId="1" xfId="0" applyFont="1" applyFill="1" applyBorder="1" applyAlignment="1">
      <alignment vertical="center"/>
    </xf>
    <xf numFmtId="0" fontId="4" fillId="6" borderId="1" xfId="0" applyFont="1" applyFill="1" applyBorder="1" applyAlignment="1">
      <alignment vertical="center" wrapText="1"/>
    </xf>
    <xf numFmtId="0" fontId="4" fillId="6" borderId="1" xfId="0" applyFont="1" applyFill="1" applyBorder="1" applyAlignment="1">
      <alignment horizontal="left" vertical="center"/>
    </xf>
    <xf numFmtId="0" fontId="2" fillId="11" borderId="1" xfId="0" applyFont="1" applyFill="1" applyBorder="1"/>
    <xf numFmtId="0" fontId="2" fillId="11" borderId="1" xfId="0" applyFont="1" applyFill="1" applyBorder="1" applyAlignment="1">
      <alignment horizontal="center"/>
    </xf>
    <xf numFmtId="0" fontId="3" fillId="11" borderId="1" xfId="0" applyFont="1" applyFill="1" applyBorder="1" applyAlignment="1">
      <alignment horizontal="center" vertical="center"/>
    </xf>
    <xf numFmtId="0" fontId="4" fillId="11" borderId="1" xfId="0" applyFont="1" applyFill="1" applyBorder="1"/>
    <xf numFmtId="0" fontId="5" fillId="11" borderId="1" xfId="0" applyFont="1" applyFill="1" applyBorder="1" applyAlignment="1">
      <alignment horizontal="center"/>
    </xf>
    <xf numFmtId="0" fontId="4" fillId="10" borderId="1" xfId="0" applyFont="1" applyFill="1" applyBorder="1" applyAlignment="1">
      <alignment vertical="center" wrapText="1"/>
    </xf>
    <xf numFmtId="0" fontId="4" fillId="0" borderId="1" xfId="0" applyFont="1" applyBorder="1" applyAlignment="1">
      <alignment horizontal="center" vertical="top"/>
    </xf>
    <xf numFmtId="0" fontId="6" fillId="0" borderId="1" xfId="0" applyFont="1" applyBorder="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horizontal="center" wrapText="1"/>
    </xf>
    <xf numFmtId="0" fontId="4" fillId="0" borderId="1" xfId="0" quotePrefix="1" applyFont="1" applyBorder="1" applyAlignment="1">
      <alignment vertical="center"/>
    </xf>
    <xf numFmtId="0" fontId="4" fillId="0" borderId="1" xfId="0" applyFont="1" applyBorder="1" applyAlignment="1">
      <alignment vertical="center" wrapText="1"/>
    </xf>
    <xf numFmtId="0" fontId="4" fillId="6" borderId="1" xfId="0" applyFont="1" applyFill="1" applyBorder="1" applyAlignment="1">
      <alignment horizontal="right" vertical="top"/>
    </xf>
    <xf numFmtId="0" fontId="4" fillId="6" borderId="1" xfId="0" applyFont="1" applyFill="1" applyBorder="1"/>
    <xf numFmtId="0" fontId="4" fillId="6" borderId="1" xfId="0" applyFont="1" applyFill="1" applyBorder="1" applyAlignment="1">
      <alignment horizontal="center"/>
    </xf>
    <xf numFmtId="0" fontId="9" fillId="6" borderId="1" xfId="0" applyFont="1" applyFill="1" applyBorder="1" applyAlignment="1">
      <alignment horizontal="center"/>
    </xf>
    <xf numFmtId="0" fontId="4" fillId="6" borderId="1" xfId="0" applyFont="1" applyFill="1" applyBorder="1" applyAlignment="1">
      <alignment vertical="top" wrapText="1"/>
    </xf>
    <xf numFmtId="0" fontId="9" fillId="6" borderId="1" xfId="0" applyFont="1" applyFill="1" applyBorder="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horizontal="left" wrapText="1"/>
    </xf>
    <xf numFmtId="0" fontId="3"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3" fillId="0" borderId="1" xfId="0" applyFont="1" applyBorder="1" applyAlignment="1">
      <alignment horizontal="left" vertical="center"/>
    </xf>
    <xf numFmtId="0" fontId="4" fillId="6" borderId="1" xfId="0" applyFont="1" applyFill="1" applyBorder="1" applyAlignment="1">
      <alignment horizontal="center" wrapText="1"/>
    </xf>
    <xf numFmtId="0" fontId="7" fillId="0" borderId="0" xfId="0" applyFont="1"/>
    <xf numFmtId="0" fontId="0" fillId="0" borderId="0" xfId="0" applyAlignment="1">
      <alignment horizontal="center"/>
    </xf>
    <xf numFmtId="0" fontId="3" fillId="0" borderId="14" xfId="0" applyFont="1" applyBorder="1"/>
    <xf numFmtId="0" fontId="3" fillId="0" borderId="15" xfId="0" applyFont="1" applyBorder="1" applyAlignment="1">
      <alignment horizontal="left"/>
    </xf>
    <xf numFmtId="0" fontId="3" fillId="0" borderId="0" xfId="0" applyFont="1" applyAlignment="1">
      <alignment horizontal="left"/>
    </xf>
    <xf numFmtId="0" fontId="18" fillId="0" borderId="12" xfId="0" applyFont="1" applyBorder="1" applyAlignment="1">
      <alignment horizontal="center"/>
    </xf>
    <xf numFmtId="0" fontId="0" fillId="0" borderId="13" xfId="0" applyBorder="1"/>
    <xf numFmtId="0" fontId="20" fillId="0" borderId="18" xfId="0" applyFont="1" applyBorder="1"/>
    <xf numFmtId="0" fontId="21" fillId="0" borderId="19" xfId="0" applyFont="1" applyBorder="1"/>
    <xf numFmtId="0" fontId="21" fillId="0" borderId="0" xfId="0" applyFont="1"/>
    <xf numFmtId="0" fontId="21" fillId="0" borderId="0" xfId="0" applyFont="1" applyAlignment="1">
      <alignment horizontal="center"/>
    </xf>
    <xf numFmtId="0" fontId="21" fillId="0" borderId="20" xfId="0" applyFont="1" applyBorder="1"/>
    <xf numFmtId="0" fontId="13" fillId="0" borderId="22" xfId="0" applyFont="1" applyBorder="1"/>
    <xf numFmtId="0" fontId="13" fillId="0" borderId="23" xfId="0" applyFont="1" applyBorder="1"/>
    <xf numFmtId="0" fontId="13" fillId="0" borderId="24" xfId="0" applyFont="1" applyBorder="1" applyAlignment="1">
      <alignment horizontal="center" wrapText="1"/>
    </xf>
    <xf numFmtId="0" fontId="13" fillId="0" borderId="14" xfId="0" applyFont="1" applyBorder="1"/>
    <xf numFmtId="0" fontId="20" fillId="0" borderId="25" xfId="0" applyFont="1" applyBorder="1"/>
    <xf numFmtId="0" fontId="13" fillId="0" borderId="26" xfId="0" applyFont="1" applyBorder="1" applyAlignment="1">
      <alignment vertical="center"/>
    </xf>
    <xf numFmtId="0" fontId="23" fillId="0" borderId="27" xfId="0" applyFont="1" applyBorder="1" applyAlignment="1">
      <alignment vertical="center"/>
    </xf>
    <xf numFmtId="0" fontId="23" fillId="0" borderId="28" xfId="0" applyFont="1" applyBorder="1" applyAlignment="1">
      <alignment vertical="center"/>
    </xf>
    <xf numFmtId="0" fontId="0" fillId="0" borderId="29" xfId="0" applyBorder="1"/>
    <xf numFmtId="0" fontId="24" fillId="8" borderId="30" xfId="0" applyFont="1" applyFill="1" applyBorder="1" applyAlignment="1">
      <alignment horizontal="center" vertical="center"/>
    </xf>
    <xf numFmtId="0" fontId="24" fillId="0" borderId="31" xfId="0" applyFont="1" applyBorder="1" applyAlignment="1">
      <alignment horizontal="center" vertical="center"/>
    </xf>
    <xf numFmtId="0" fontId="24" fillId="4" borderId="31" xfId="0" applyFont="1" applyFill="1" applyBorder="1" applyAlignment="1">
      <alignment vertical="center"/>
    </xf>
    <xf numFmtId="0" fontId="27" fillId="4" borderId="31" xfId="0" applyFont="1" applyFill="1" applyBorder="1" applyAlignment="1">
      <alignment horizontal="center" vertical="center" wrapText="1"/>
    </xf>
    <xf numFmtId="0" fontId="24" fillId="4" borderId="32" xfId="0" applyFont="1" applyFill="1" applyBorder="1" applyAlignment="1">
      <alignment horizontal="center" vertical="center"/>
    </xf>
    <xf numFmtId="0" fontId="24" fillId="4" borderId="35" xfId="1" applyFont="1" applyFill="1" applyBorder="1" applyAlignment="1">
      <alignment horizontal="left" vertical="center" wrapText="1"/>
    </xf>
    <xf numFmtId="0" fontId="27" fillId="4" borderId="35" xfId="0" applyFont="1" applyFill="1" applyBorder="1" applyAlignment="1">
      <alignment horizontal="center" vertical="center" wrapText="1"/>
    </xf>
    <xf numFmtId="0" fontId="28" fillId="0" borderId="36" xfId="1" applyFont="1" applyBorder="1" applyAlignment="1">
      <alignment horizontal="left" vertical="center"/>
    </xf>
    <xf numFmtId="49" fontId="24" fillId="0" borderId="37" xfId="1" applyNumberFormat="1" applyFont="1" applyBorder="1" applyAlignment="1">
      <alignment horizontal="center" vertical="center" wrapText="1"/>
    </xf>
    <xf numFmtId="0" fontId="0" fillId="4" borderId="37" xfId="0" applyFill="1" applyBorder="1"/>
    <xf numFmtId="0" fontId="24" fillId="4" borderId="30" xfId="1" applyFont="1" applyFill="1" applyBorder="1" applyAlignment="1">
      <alignment horizontal="center" vertical="center"/>
    </xf>
    <xf numFmtId="0" fontId="24" fillId="0" borderId="1" xfId="1" applyFont="1" applyBorder="1" applyAlignment="1">
      <alignment vertical="center" wrapText="1"/>
    </xf>
    <xf numFmtId="0" fontId="24" fillId="0" borderId="1" xfId="1" applyFont="1" applyBorder="1" applyAlignment="1">
      <alignment horizontal="left" vertical="center" wrapText="1"/>
    </xf>
    <xf numFmtId="0" fontId="24" fillId="0" borderId="4" xfId="0" applyFont="1" applyBorder="1" applyAlignment="1">
      <alignment horizontal="center" vertical="center"/>
    </xf>
    <xf numFmtId="0" fontId="24" fillId="4" borderId="31" xfId="0" applyFont="1" applyFill="1" applyBorder="1" applyAlignment="1">
      <alignment horizontal="center" vertical="center"/>
    </xf>
    <xf numFmtId="0" fontId="24" fillId="0" borderId="31" xfId="0" applyFont="1" applyBorder="1" applyAlignment="1">
      <alignment vertical="center"/>
    </xf>
    <xf numFmtId="0" fontId="27" fillId="4" borderId="31" xfId="0" applyFont="1" applyFill="1" applyBorder="1" applyAlignment="1">
      <alignment wrapText="1"/>
    </xf>
    <xf numFmtId="0" fontId="24" fillId="0" borderId="1" xfId="0" applyFont="1" applyBorder="1" applyAlignment="1">
      <alignment vertical="center" wrapText="1"/>
    </xf>
    <xf numFmtId="0" fontId="28" fillId="0" borderId="26" xfId="1" applyFont="1" applyBorder="1" applyAlignment="1">
      <alignment horizontal="left" vertical="center"/>
    </xf>
    <xf numFmtId="49" fontId="24" fillId="0" borderId="29" xfId="1" applyNumberFormat="1" applyFont="1" applyBorder="1" applyAlignment="1">
      <alignment horizontal="center" vertical="center" wrapText="1"/>
    </xf>
    <xf numFmtId="0" fontId="0" fillId="4" borderId="29" xfId="0" applyFill="1" applyBorder="1"/>
    <xf numFmtId="0" fontId="24" fillId="0" borderId="1" xfId="0" applyFont="1" applyBorder="1" applyAlignment="1">
      <alignment horizontal="left" vertical="center" wrapText="1"/>
    </xf>
    <xf numFmtId="0" fontId="24" fillId="0" borderId="1" xfId="0" applyFont="1" applyBorder="1" applyAlignment="1">
      <alignment horizontal="center" vertical="center"/>
    </xf>
    <xf numFmtId="0" fontId="24" fillId="0" borderId="33" xfId="0" applyFont="1" applyBorder="1" applyAlignment="1">
      <alignment horizontal="left" vertical="center" wrapText="1"/>
    </xf>
    <xf numFmtId="0" fontId="24" fillId="0" borderId="33" xfId="1" applyFont="1" applyBorder="1" applyAlignment="1">
      <alignment horizontal="left" vertical="center" wrapText="1"/>
    </xf>
    <xf numFmtId="0" fontId="24" fillId="0" borderId="33" xfId="0" applyFont="1" applyBorder="1" applyAlignment="1">
      <alignment horizontal="center" vertical="center"/>
    </xf>
    <xf numFmtId="0" fontId="24" fillId="0" borderId="35" xfId="0" applyFont="1" applyBorder="1" applyAlignment="1">
      <alignment horizontal="center" vertical="center"/>
    </xf>
    <xf numFmtId="0" fontId="19" fillId="4" borderId="29" xfId="0" applyFont="1" applyFill="1" applyBorder="1" applyAlignment="1">
      <alignment wrapText="1"/>
    </xf>
    <xf numFmtId="0" fontId="24" fillId="4" borderId="32" xfId="1" applyFont="1" applyFill="1" applyBorder="1" applyAlignment="1">
      <alignment horizontal="center" vertical="center"/>
    </xf>
    <xf numFmtId="0" fontId="24" fillId="0" borderId="34" xfId="1" applyFont="1" applyBorder="1" applyAlignment="1">
      <alignment horizontal="center" vertical="center" wrapText="1"/>
    </xf>
    <xf numFmtId="0" fontId="24" fillId="0" borderId="35" xfId="0" applyFont="1" applyBorder="1" applyAlignment="1">
      <alignment vertical="center"/>
    </xf>
    <xf numFmtId="0" fontId="27" fillId="4" borderId="35" xfId="0" applyFont="1" applyFill="1" applyBorder="1" applyAlignment="1">
      <alignment wrapText="1"/>
    </xf>
    <xf numFmtId="0" fontId="24" fillId="0" borderId="19" xfId="0" applyFont="1" applyBorder="1" applyAlignment="1">
      <alignment horizontal="left" vertical="center" wrapText="1"/>
    </xf>
    <xf numFmtId="0" fontId="24" fillId="0" borderId="19" xfId="1" applyFont="1" applyBorder="1" applyAlignment="1">
      <alignment horizontal="left" vertical="center" wrapText="1"/>
    </xf>
    <xf numFmtId="0" fontId="27" fillId="12" borderId="18" xfId="1" applyFont="1" applyFill="1" applyBorder="1" applyAlignment="1">
      <alignment horizontal="center" vertical="center" wrapText="1"/>
    </xf>
    <xf numFmtId="0" fontId="27" fillId="12" borderId="38" xfId="1" applyFont="1" applyFill="1" applyBorder="1" applyAlignment="1">
      <alignment horizontal="center" vertical="center" wrapText="1"/>
    </xf>
    <xf numFmtId="0" fontId="27" fillId="0" borderId="39" xfId="0" applyFont="1" applyBorder="1" applyAlignment="1">
      <alignment horizontal="center" vertical="center"/>
    </xf>
    <xf numFmtId="0" fontId="19" fillId="0" borderId="3" xfId="0" applyFont="1" applyBorder="1" applyAlignment="1">
      <alignment wrapText="1"/>
    </xf>
    <xf numFmtId="0" fontId="24" fillId="4" borderId="30" xfId="0" applyFont="1" applyFill="1" applyBorder="1" applyAlignment="1">
      <alignment horizontal="center" vertical="center"/>
    </xf>
    <xf numFmtId="0" fontId="24" fillId="4" borderId="1" xfId="0" applyFont="1" applyFill="1" applyBorder="1" applyAlignment="1">
      <alignment vertical="center" wrapText="1"/>
    </xf>
    <xf numFmtId="0" fontId="24" fillId="4" borderId="1" xfId="0" applyFont="1" applyFill="1" applyBorder="1" applyAlignment="1">
      <alignment vertical="center"/>
    </xf>
    <xf numFmtId="0" fontId="24" fillId="4" borderId="4" xfId="0" applyFont="1" applyFill="1" applyBorder="1" applyAlignment="1">
      <alignment horizontal="center" vertical="center"/>
    </xf>
    <xf numFmtId="1" fontId="24" fillId="4" borderId="41" xfId="0" applyNumberFormat="1" applyFont="1" applyFill="1" applyBorder="1" applyAlignment="1">
      <alignment horizontal="center" vertical="center"/>
    </xf>
    <xf numFmtId="0" fontId="24" fillId="4" borderId="31" xfId="0" applyFont="1" applyFill="1" applyBorder="1" applyAlignment="1">
      <alignment horizontal="left" vertical="center"/>
    </xf>
    <xf numFmtId="0" fontId="24" fillId="0" borderId="30" xfId="0" applyFont="1" applyBorder="1" applyAlignment="1">
      <alignment horizontal="center" vertical="center"/>
    </xf>
    <xf numFmtId="0" fontId="24" fillId="0" borderId="1" xfId="0" applyFont="1" applyBorder="1" applyAlignment="1">
      <alignment vertical="center"/>
    </xf>
    <xf numFmtId="1" fontId="29" fillId="4" borderId="41" xfId="0" applyNumberFormat="1" applyFont="1" applyFill="1" applyBorder="1" applyAlignment="1">
      <alignment horizontal="center" vertical="center"/>
    </xf>
    <xf numFmtId="0" fontId="21" fillId="0" borderId="0" xfId="0" applyFont="1" applyAlignment="1">
      <alignment vertical="center"/>
    </xf>
    <xf numFmtId="0" fontId="0" fillId="0" borderId="0" xfId="0" applyAlignment="1">
      <alignment vertical="center"/>
    </xf>
    <xf numFmtId="2" fontId="24" fillId="0" borderId="29" xfId="0" applyNumberFormat="1" applyFont="1" applyBorder="1" applyAlignment="1">
      <alignment horizontal="center" vertical="center" wrapText="1"/>
    </xf>
    <xf numFmtId="0" fontId="27" fillId="0" borderId="29" xfId="0" applyFont="1" applyBorder="1" applyAlignment="1">
      <alignment vertical="center"/>
    </xf>
    <xf numFmtId="0" fontId="30" fillId="0" borderId="29" xfId="0" applyFont="1" applyBorder="1" applyAlignment="1">
      <alignment wrapText="1"/>
    </xf>
    <xf numFmtId="49" fontId="0" fillId="0" borderId="0" xfId="0" applyNumberFormat="1"/>
    <xf numFmtId="0" fontId="24" fillId="0" borderId="32" xfId="1" applyFont="1" applyBorder="1" applyAlignment="1">
      <alignment horizontal="center" vertical="center"/>
    </xf>
    <xf numFmtId="0" fontId="24" fillId="0" borderId="33" xfId="0" applyFont="1" applyBorder="1" applyAlignment="1">
      <alignment vertical="center" wrapText="1"/>
    </xf>
    <xf numFmtId="0" fontId="24" fillId="4" borderId="34" xfId="0" applyFont="1" applyFill="1" applyBorder="1" applyAlignment="1">
      <alignment horizontal="center" vertical="center"/>
    </xf>
    <xf numFmtId="2" fontId="24" fillId="0" borderId="29" xfId="0" applyNumberFormat="1" applyFont="1" applyBorder="1" applyAlignment="1">
      <alignment horizontal="center" vertical="center"/>
    </xf>
    <xf numFmtId="0" fontId="24" fillId="0" borderId="1" xfId="0" applyFont="1" applyBorder="1" applyAlignment="1">
      <alignment horizontal="left" vertical="center"/>
    </xf>
    <xf numFmtId="1" fontId="24" fillId="4" borderId="35" xfId="0" applyNumberFormat="1" applyFont="1" applyFill="1" applyBorder="1" applyAlignment="1">
      <alignment horizontal="center" vertical="center"/>
    </xf>
    <xf numFmtId="0" fontId="24" fillId="4" borderId="35" xfId="0" applyFont="1" applyFill="1" applyBorder="1" applyAlignment="1">
      <alignment vertical="center"/>
    </xf>
    <xf numFmtId="49" fontId="24" fillId="0" borderId="31" xfId="1" applyNumberFormat="1" applyFont="1" applyBorder="1" applyAlignment="1">
      <alignment horizontal="left" vertical="center"/>
    </xf>
    <xf numFmtId="0" fontId="24" fillId="8" borderId="32" xfId="1" applyFont="1" applyFill="1" applyBorder="1" applyAlignment="1">
      <alignment horizontal="center" vertical="center"/>
    </xf>
    <xf numFmtId="0" fontId="26" fillId="0" borderId="18" xfId="0" applyFont="1" applyBorder="1" applyAlignment="1">
      <alignment horizontal="center" vertical="center"/>
    </xf>
    <xf numFmtId="0" fontId="27" fillId="13" borderId="18" xfId="1" applyFont="1" applyFill="1" applyBorder="1" applyAlignment="1">
      <alignment horizontal="center" vertical="center" wrapText="1"/>
    </xf>
    <xf numFmtId="1" fontId="27" fillId="12" borderId="38" xfId="1" applyNumberFormat="1" applyFont="1" applyFill="1" applyBorder="1" applyAlignment="1">
      <alignment horizontal="center" vertical="center" wrapText="1"/>
    </xf>
    <xf numFmtId="49" fontId="27" fillId="0" borderId="39" xfId="0" applyNumberFormat="1" applyFont="1" applyBorder="1" applyAlignment="1">
      <alignment horizontal="center" vertical="center"/>
    </xf>
    <xf numFmtId="0" fontId="19" fillId="0" borderId="43" xfId="0" applyFont="1" applyBorder="1" applyAlignment="1">
      <alignment wrapText="1"/>
    </xf>
    <xf numFmtId="0" fontId="0" fillId="0" borderId="18" xfId="0" applyBorder="1"/>
    <xf numFmtId="0" fontId="0" fillId="0" borderId="19" xfId="0" applyBorder="1"/>
    <xf numFmtId="0" fontId="0" fillId="0" borderId="19" xfId="0" applyBorder="1" applyAlignment="1">
      <alignment horizontal="center"/>
    </xf>
    <xf numFmtId="0" fontId="0" fillId="0" borderId="44" xfId="0" applyBorder="1"/>
    <xf numFmtId="0" fontId="0" fillId="0" borderId="14" xfId="0" applyBorder="1"/>
    <xf numFmtId="0" fontId="0" fillId="0" borderId="15" xfId="0" applyBorder="1"/>
    <xf numFmtId="0" fontId="0" fillId="0" borderId="15" xfId="0" applyBorder="1" applyAlignment="1">
      <alignment horizontal="center"/>
    </xf>
    <xf numFmtId="0" fontId="0" fillId="0" borderId="21" xfId="0" applyBorder="1"/>
    <xf numFmtId="0" fontId="0" fillId="0" borderId="12" xfId="0" applyBorder="1"/>
    <xf numFmtId="0" fontId="21" fillId="0" borderId="19" xfId="0" applyFont="1" applyBorder="1" applyAlignment="1">
      <alignment horizontal="center"/>
    </xf>
    <xf numFmtId="0" fontId="21" fillId="0" borderId="44" xfId="0" applyFont="1" applyBorder="1"/>
    <xf numFmtId="0" fontId="13" fillId="0" borderId="24" xfId="0" applyFont="1" applyBorder="1"/>
    <xf numFmtId="0" fontId="13" fillId="0" borderId="25" xfId="0" applyFont="1" applyBorder="1" applyAlignment="1">
      <alignment horizontal="center" wrapText="1"/>
    </xf>
    <xf numFmtId="0" fontId="13" fillId="0" borderId="15" xfId="0" applyFont="1" applyBorder="1"/>
    <xf numFmtId="0" fontId="13" fillId="0" borderId="47" xfId="0" applyFont="1" applyBorder="1"/>
    <xf numFmtId="0" fontId="20" fillId="0" borderId="48" xfId="0" applyFont="1" applyBorder="1"/>
    <xf numFmtId="0" fontId="24" fillId="8" borderId="30" xfId="1" applyFont="1" applyFill="1" applyBorder="1" applyAlignment="1">
      <alignment horizontal="center" vertical="center"/>
    </xf>
    <xf numFmtId="0" fontId="24" fillId="4" borderId="1" xfId="1" applyFont="1" applyFill="1" applyBorder="1" applyAlignment="1">
      <alignment vertical="center" wrapText="1"/>
    </xf>
    <xf numFmtId="0" fontId="24" fillId="4" borderId="4" xfId="1" applyFont="1" applyFill="1" applyBorder="1" applyAlignment="1">
      <alignment vertical="center" wrapText="1"/>
    </xf>
    <xf numFmtId="0" fontId="24" fillId="4" borderId="31" xfId="1" applyFont="1" applyFill="1" applyBorder="1" applyAlignment="1">
      <alignment horizontal="center" vertical="center" wrapText="1"/>
    </xf>
    <xf numFmtId="0" fontId="24" fillId="4" borderId="49" xfId="1" applyFont="1" applyFill="1" applyBorder="1" applyAlignment="1">
      <alignment vertical="center" wrapText="1"/>
    </xf>
    <xf numFmtId="0" fontId="25" fillId="8" borderId="32" xfId="1" applyFont="1" applyFill="1" applyBorder="1" applyAlignment="1">
      <alignment horizontal="center" vertical="center"/>
    </xf>
    <xf numFmtId="0" fontId="24" fillId="4" borderId="33" xfId="1" applyFont="1" applyFill="1" applyBorder="1" applyAlignment="1">
      <alignment vertical="center" wrapText="1"/>
    </xf>
    <xf numFmtId="0" fontId="24" fillId="4" borderId="33" xfId="1" applyFont="1" applyFill="1" applyBorder="1" applyAlignment="1">
      <alignment horizontal="left" vertical="center" wrapText="1"/>
    </xf>
    <xf numFmtId="0" fontId="24" fillId="4" borderId="34" xfId="0" applyFont="1" applyFill="1" applyBorder="1" applyAlignment="1">
      <alignment horizontal="left" vertical="center" wrapText="1"/>
    </xf>
    <xf numFmtId="0" fontId="24" fillId="4" borderId="51" xfId="0" applyFont="1" applyFill="1" applyBorder="1"/>
    <xf numFmtId="0" fontId="28" fillId="4" borderId="26" xfId="1" applyFont="1" applyFill="1" applyBorder="1" applyAlignment="1">
      <alignment horizontal="left" vertical="center"/>
    </xf>
    <xf numFmtId="0" fontId="29" fillId="4" borderId="29" xfId="0" applyFont="1" applyFill="1" applyBorder="1" applyAlignment="1">
      <alignment vertical="center"/>
    </xf>
    <xf numFmtId="0" fontId="25" fillId="4" borderId="30" xfId="1" applyFont="1" applyFill="1" applyBorder="1" applyAlignment="1">
      <alignment horizontal="center" vertical="center"/>
    </xf>
    <xf numFmtId="0" fontId="24" fillId="4" borderId="1" xfId="1" applyFont="1" applyFill="1" applyBorder="1" applyAlignment="1">
      <alignment horizontal="left" vertical="center" wrapText="1"/>
    </xf>
    <xf numFmtId="0" fontId="24" fillId="4" borderId="1" xfId="0" applyFont="1" applyFill="1" applyBorder="1" applyAlignment="1">
      <alignment horizontal="center" vertical="center" wrapText="1"/>
    </xf>
    <xf numFmtId="0" fontId="29" fillId="4" borderId="54" xfId="0" applyFont="1" applyFill="1" applyBorder="1" applyAlignment="1">
      <alignment vertical="center"/>
    </xf>
    <xf numFmtId="0" fontId="25" fillId="4" borderId="32" xfId="1" applyFont="1" applyFill="1" applyBorder="1" applyAlignment="1">
      <alignment horizontal="center" vertical="center"/>
    </xf>
    <xf numFmtId="0" fontId="24" fillId="4" borderId="33" xfId="0" applyFont="1" applyFill="1" applyBorder="1" applyAlignment="1">
      <alignment vertical="center" wrapText="1"/>
    </xf>
    <xf numFmtId="0" fontId="24" fillId="4" borderId="33" xfId="0" applyFont="1" applyFill="1" applyBorder="1" applyAlignment="1">
      <alignment horizontal="center" vertical="center"/>
    </xf>
    <xf numFmtId="0" fontId="24" fillId="4" borderId="55" xfId="0" applyFont="1" applyFill="1" applyBorder="1" applyAlignment="1">
      <alignment vertical="center"/>
    </xf>
    <xf numFmtId="0" fontId="29" fillId="4" borderId="35" xfId="0" applyFont="1" applyFill="1" applyBorder="1" applyAlignment="1">
      <alignment vertical="center"/>
    </xf>
    <xf numFmtId="0" fontId="28" fillId="4" borderId="36" xfId="1" applyFont="1" applyFill="1" applyBorder="1" applyAlignment="1">
      <alignment horizontal="left" vertical="center"/>
    </xf>
    <xf numFmtId="0" fontId="29" fillId="4" borderId="37" xfId="0" applyFont="1" applyFill="1" applyBorder="1" applyAlignment="1">
      <alignment vertical="center"/>
    </xf>
    <xf numFmtId="0" fontId="24" fillId="4" borderId="6" xfId="0" applyFont="1" applyFill="1" applyBorder="1" applyAlignment="1">
      <alignment vertical="center"/>
    </xf>
    <xf numFmtId="0" fontId="29" fillId="4" borderId="31" xfId="0" applyFont="1" applyFill="1" applyBorder="1" applyAlignment="1">
      <alignment vertical="center"/>
    </xf>
    <xf numFmtId="0" fontId="24" fillId="4" borderId="53" xfId="1" applyFont="1" applyFill="1" applyBorder="1" applyAlignment="1">
      <alignment horizontal="center" vertical="center"/>
    </xf>
    <xf numFmtId="0" fontId="24" fillId="0" borderId="10" xfId="0" applyFont="1" applyBorder="1" applyAlignment="1">
      <alignment horizontal="left" vertical="center" wrapText="1"/>
    </xf>
    <xf numFmtId="0" fontId="24" fillId="4" borderId="10" xfId="0" applyFont="1" applyFill="1" applyBorder="1" applyAlignment="1">
      <alignment vertical="center" wrapText="1"/>
    </xf>
    <xf numFmtId="0" fontId="24" fillId="4" borderId="10" xfId="0" applyFont="1" applyFill="1" applyBorder="1" applyAlignment="1">
      <alignment vertical="center"/>
    </xf>
    <xf numFmtId="0" fontId="24" fillId="4" borderId="57" xfId="0" applyFont="1" applyFill="1" applyBorder="1" applyAlignment="1">
      <alignment horizontal="center" vertical="center"/>
    </xf>
    <xf numFmtId="0" fontId="24" fillId="4" borderId="54" xfId="0" applyFont="1" applyFill="1" applyBorder="1" applyAlignment="1">
      <alignment horizontal="center" vertical="center" wrapText="1"/>
    </xf>
    <xf numFmtId="0" fontId="24" fillId="4" borderId="58" xfId="0" applyFont="1" applyFill="1" applyBorder="1" applyAlignment="1">
      <alignment vertical="center"/>
    </xf>
    <xf numFmtId="0" fontId="13" fillId="0" borderId="27" xfId="0" applyFont="1" applyBorder="1"/>
    <xf numFmtId="0" fontId="29" fillId="0" borderId="48" xfId="0" applyFont="1" applyBorder="1" applyAlignment="1">
      <alignment vertical="center"/>
    </xf>
    <xf numFmtId="0" fontId="24" fillId="4" borderId="33" xfId="0" applyFont="1" applyFill="1" applyBorder="1" applyAlignment="1">
      <alignment horizontal="left" vertical="center" wrapText="1"/>
    </xf>
    <xf numFmtId="0" fontId="24" fillId="4" borderId="33" xfId="1" applyFont="1" applyFill="1" applyBorder="1" applyAlignment="1">
      <alignment horizontal="center" vertical="center" wrapText="1"/>
    </xf>
    <xf numFmtId="0" fontId="24" fillId="4" borderId="33" xfId="0" applyFont="1" applyFill="1" applyBorder="1" applyAlignment="1">
      <alignment vertical="center"/>
    </xf>
    <xf numFmtId="0" fontId="24" fillId="4" borderId="51" xfId="0" applyFont="1" applyFill="1" applyBorder="1" applyAlignment="1">
      <alignment vertical="center"/>
    </xf>
    <xf numFmtId="0" fontId="13" fillId="0" borderId="45" xfId="0" applyFont="1" applyBorder="1"/>
    <xf numFmtId="0" fontId="13" fillId="0" borderId="46" xfId="0" applyFont="1" applyBorder="1"/>
    <xf numFmtId="0" fontId="13" fillId="0" borderId="16" xfId="0" applyFont="1" applyBorder="1" applyAlignment="1">
      <alignment horizontal="center" wrapText="1"/>
    </xf>
    <xf numFmtId="0" fontId="13" fillId="0" borderId="11" xfId="0" applyFont="1" applyBorder="1"/>
    <xf numFmtId="0" fontId="13" fillId="0" borderId="28" xfId="0" applyFont="1" applyBorder="1"/>
    <xf numFmtId="0" fontId="24" fillId="4" borderId="31" xfId="0" applyFont="1" applyFill="1" applyBorder="1"/>
    <xf numFmtId="0" fontId="24" fillId="4" borderId="41" xfId="0" applyFont="1" applyFill="1" applyBorder="1" applyAlignment="1">
      <alignment horizontal="center" vertical="center"/>
    </xf>
    <xf numFmtId="0" fontId="24" fillId="4" borderId="59" xfId="0" applyFont="1" applyFill="1" applyBorder="1" applyAlignment="1">
      <alignment horizontal="center" vertical="center"/>
    </xf>
    <xf numFmtId="0" fontId="24" fillId="4" borderId="35" xfId="0" applyFont="1" applyFill="1" applyBorder="1" applyAlignment="1">
      <alignment horizontal="left" vertical="center"/>
    </xf>
    <xf numFmtId="49" fontId="24" fillId="0" borderId="60" xfId="1" applyNumberFormat="1" applyFont="1" applyBorder="1" applyAlignment="1">
      <alignment horizontal="center" vertical="center" wrapText="1"/>
    </xf>
    <xf numFmtId="0" fontId="30" fillId="0" borderId="37" xfId="0" applyFont="1" applyBorder="1" applyAlignment="1">
      <alignment wrapText="1"/>
    </xf>
    <xf numFmtId="0" fontId="0" fillId="4" borderId="31" xfId="0" applyFill="1" applyBorder="1"/>
    <xf numFmtId="0" fontId="0" fillId="4" borderId="35" xfId="0" applyFill="1" applyBorder="1"/>
    <xf numFmtId="49" fontId="24" fillId="0" borderId="40" xfId="1" applyNumberFormat="1" applyFont="1" applyBorder="1" applyAlignment="1">
      <alignment horizontal="center" vertical="center" wrapText="1"/>
    </xf>
    <xf numFmtId="0" fontId="26" fillId="4" borderId="53" xfId="0" applyFont="1" applyFill="1" applyBorder="1" applyAlignment="1">
      <alignment horizontal="center" vertical="center"/>
    </xf>
    <xf numFmtId="0" fontId="24" fillId="0" borderId="2" xfId="1" applyFont="1" applyBorder="1" applyAlignment="1">
      <alignment vertical="center" wrapText="1"/>
    </xf>
    <xf numFmtId="0" fontId="24" fillId="0" borderId="2" xfId="0" applyFont="1" applyBorder="1" applyAlignment="1">
      <alignment vertical="center" wrapText="1"/>
    </xf>
    <xf numFmtId="20" fontId="24" fillId="0" borderId="2" xfId="1" applyNumberFormat="1" applyFont="1" applyBorder="1" applyAlignment="1">
      <alignment horizontal="center" vertical="center" wrapText="1"/>
    </xf>
    <xf numFmtId="0" fontId="24" fillId="0" borderId="54" xfId="0" applyFont="1" applyBorder="1" applyAlignment="1">
      <alignment vertical="center"/>
    </xf>
    <xf numFmtId="0" fontId="19" fillId="0" borderId="29" xfId="0" applyFont="1" applyBorder="1" applyAlignment="1">
      <alignment wrapText="1"/>
    </xf>
    <xf numFmtId="0" fontId="24" fillId="4" borderId="1" xfId="0" applyFont="1" applyFill="1" applyBorder="1" applyAlignment="1">
      <alignment wrapText="1"/>
    </xf>
    <xf numFmtId="49" fontId="24" fillId="4" borderId="41" xfId="1" applyNumberFormat="1" applyFont="1" applyFill="1" applyBorder="1" applyAlignment="1">
      <alignment horizontal="center" vertical="center" wrapText="1"/>
    </xf>
    <xf numFmtId="49" fontId="24" fillId="4" borderId="31" xfId="1" applyNumberFormat="1" applyFont="1" applyFill="1" applyBorder="1" applyAlignment="1">
      <alignment horizontal="left" vertical="center"/>
    </xf>
    <xf numFmtId="49" fontId="27" fillId="13" borderId="38" xfId="1" applyNumberFormat="1" applyFont="1" applyFill="1" applyBorder="1" applyAlignment="1">
      <alignment horizontal="center" vertical="center" wrapText="1"/>
    </xf>
    <xf numFmtId="0" fontId="25" fillId="0" borderId="61" xfId="1" applyFont="1" applyBorder="1" applyAlignment="1">
      <alignment horizontal="center" vertical="center"/>
    </xf>
    <xf numFmtId="0" fontId="24" fillId="0" borderId="0" xfId="0" applyFont="1" applyAlignment="1">
      <alignment horizontal="left" vertical="center" wrapText="1"/>
    </xf>
    <xf numFmtId="0" fontId="24" fillId="0" borderId="0" xfId="1" applyFont="1" applyAlignment="1">
      <alignment horizontal="left" vertical="center" wrapText="1"/>
    </xf>
    <xf numFmtId="0" fontId="24" fillId="0" borderId="0" xfId="1" applyFont="1" applyAlignment="1">
      <alignment horizontal="center" vertical="center" wrapText="1"/>
    </xf>
    <xf numFmtId="0" fontId="24" fillId="0" borderId="0" xfId="0" applyFont="1" applyAlignment="1">
      <alignment vertical="center"/>
    </xf>
    <xf numFmtId="0" fontId="27" fillId="0" borderId="20" xfId="0" applyFont="1" applyBorder="1" applyAlignment="1">
      <alignment wrapText="1"/>
    </xf>
    <xf numFmtId="0" fontId="21" fillId="0" borderId="13" xfId="0" applyFont="1" applyBorder="1"/>
    <xf numFmtId="0" fontId="31" fillId="0" borderId="0" xfId="0" applyFont="1" applyAlignment="1">
      <alignment horizontal="center" vertical="center"/>
    </xf>
    <xf numFmtId="0" fontId="7" fillId="0" borderId="61" xfId="0" applyFont="1" applyBorder="1"/>
    <xf numFmtId="0" fontId="19" fillId="0" borderId="20" xfId="0" applyFont="1" applyBorder="1"/>
    <xf numFmtId="0" fontId="0" fillId="0" borderId="52" xfId="0" applyBorder="1"/>
    <xf numFmtId="0" fontId="24" fillId="0" borderId="1" xfId="0" applyFont="1" applyBorder="1" applyAlignment="1">
      <alignment horizontal="center" vertical="center" wrapText="1"/>
    </xf>
    <xf numFmtId="0" fontId="24" fillId="4" borderId="1" xfId="0" applyFont="1" applyFill="1" applyBorder="1" applyAlignment="1">
      <alignment horizontal="center" vertical="center"/>
    </xf>
    <xf numFmtId="0" fontId="24" fillId="4" borderId="6" xfId="0" applyFont="1" applyFill="1" applyBorder="1" applyAlignment="1">
      <alignment vertical="center" wrapText="1"/>
    </xf>
    <xf numFmtId="0" fontId="24" fillId="4" borderId="35" xfId="0" applyFont="1" applyFill="1" applyBorder="1" applyAlignment="1">
      <alignment horizontal="center" vertical="center"/>
    </xf>
    <xf numFmtId="0" fontId="24" fillId="4" borderId="44" xfId="0" applyFont="1" applyFill="1" applyBorder="1" applyAlignment="1">
      <alignment horizontal="left" vertical="center"/>
    </xf>
    <xf numFmtId="0" fontId="24" fillId="0" borderId="29" xfId="0" applyFont="1" applyBorder="1"/>
    <xf numFmtId="0" fontId="24" fillId="4" borderId="4" xfId="0" applyFont="1" applyFill="1" applyBorder="1" applyAlignment="1">
      <alignment horizontal="left" vertical="center"/>
    </xf>
    <xf numFmtId="0" fontId="24" fillId="4" borderId="34" xfId="0" applyFont="1" applyFill="1" applyBorder="1" applyAlignment="1">
      <alignment horizontal="left" vertical="center"/>
    </xf>
    <xf numFmtId="20" fontId="24" fillId="4" borderId="35" xfId="1" applyNumberFormat="1" applyFont="1" applyFill="1" applyBorder="1" applyAlignment="1">
      <alignment horizontal="left" vertical="center" wrapText="1"/>
    </xf>
    <xf numFmtId="0" fontId="24" fillId="4" borderId="35" xfId="0" applyFont="1" applyFill="1" applyBorder="1"/>
    <xf numFmtId="49" fontId="24" fillId="0" borderId="35" xfId="0" applyNumberFormat="1" applyFont="1" applyBorder="1" applyAlignment="1">
      <alignment horizontal="center" vertical="center"/>
    </xf>
    <xf numFmtId="0" fontId="27" fillId="0" borderId="35" xfId="0" applyFont="1" applyBorder="1" applyAlignment="1">
      <alignment vertical="center"/>
    </xf>
    <xf numFmtId="0" fontId="27" fillId="0" borderId="35" xfId="0" applyFont="1" applyBorder="1" applyAlignment="1">
      <alignment wrapText="1"/>
    </xf>
    <xf numFmtId="0" fontId="28" fillId="4" borderId="40" xfId="1" applyFont="1" applyFill="1" applyBorder="1" applyAlignment="1">
      <alignment horizontal="left" vertical="center"/>
    </xf>
    <xf numFmtId="49" fontId="24" fillId="0" borderId="29" xfId="0" applyNumberFormat="1" applyFont="1" applyBorder="1" applyAlignment="1">
      <alignment horizontal="center" vertical="center"/>
    </xf>
    <xf numFmtId="0" fontId="27" fillId="0" borderId="29" xfId="0" applyFont="1" applyBorder="1" applyAlignment="1">
      <alignment wrapText="1"/>
    </xf>
    <xf numFmtId="0" fontId="24" fillId="0" borderId="62" xfId="0" applyFont="1" applyBorder="1" applyAlignment="1">
      <alignment horizontal="left" vertical="center" wrapText="1"/>
    </xf>
    <xf numFmtId="0" fontId="24" fillId="0" borderId="62" xfId="1" applyFont="1" applyBorder="1" applyAlignment="1">
      <alignment horizontal="left" vertical="center" wrapText="1"/>
    </xf>
    <xf numFmtId="0" fontId="24" fillId="4" borderId="43" xfId="1" applyFont="1" applyFill="1" applyBorder="1" applyAlignment="1">
      <alignment horizontal="center" vertical="center" wrapText="1"/>
    </xf>
    <xf numFmtId="0" fontId="24" fillId="4" borderId="35" xfId="0" applyFont="1" applyFill="1" applyBorder="1" applyAlignment="1">
      <alignment wrapText="1"/>
    </xf>
    <xf numFmtId="0" fontId="13" fillId="0" borderId="27" xfId="0" applyFont="1" applyBorder="1" applyAlignment="1">
      <alignment vertical="center"/>
    </xf>
    <xf numFmtId="0" fontId="13" fillId="0" borderId="28" xfId="0" applyFont="1" applyBorder="1" applyAlignment="1">
      <alignment vertical="center"/>
    </xf>
    <xf numFmtId="0" fontId="24" fillId="4" borderId="4" xfId="0" applyFont="1" applyFill="1" applyBorder="1" applyAlignment="1">
      <alignment vertical="center"/>
    </xf>
    <xf numFmtId="1" fontId="24" fillId="4" borderId="31" xfId="0" applyNumberFormat="1" applyFont="1" applyFill="1" applyBorder="1" applyAlignment="1">
      <alignment horizontal="center" vertical="center"/>
    </xf>
    <xf numFmtId="0" fontId="24" fillId="4" borderId="8" xfId="0" applyFont="1" applyFill="1" applyBorder="1" applyAlignment="1">
      <alignment vertical="center"/>
    </xf>
    <xf numFmtId="0" fontId="24" fillId="4" borderId="50" xfId="0" applyFont="1" applyFill="1" applyBorder="1" applyAlignment="1">
      <alignment vertical="center"/>
    </xf>
    <xf numFmtId="2" fontId="32" fillId="0" borderId="37" xfId="1" applyNumberFormat="1" applyFont="1" applyBorder="1" applyAlignment="1">
      <alignment horizontal="center" vertical="center" wrapText="1"/>
    </xf>
    <xf numFmtId="0" fontId="24" fillId="0" borderId="37" xfId="0" applyFont="1" applyBorder="1"/>
    <xf numFmtId="0" fontId="24" fillId="0" borderId="63" xfId="1" applyFont="1" applyBorder="1" applyAlignment="1">
      <alignment horizontal="center" vertical="center"/>
    </xf>
    <xf numFmtId="1" fontId="24" fillId="0" borderId="64" xfId="1" applyNumberFormat="1" applyFont="1" applyBorder="1" applyAlignment="1">
      <alignment horizontal="center" vertical="center" wrapText="1"/>
    </xf>
    <xf numFmtId="0" fontId="24" fillId="0" borderId="64" xfId="0" applyFont="1" applyBorder="1"/>
    <xf numFmtId="2" fontId="24" fillId="0" borderId="29" xfId="1" applyNumberFormat="1" applyFont="1" applyBorder="1" applyAlignment="1">
      <alignment horizontal="center" vertical="center" wrapText="1"/>
    </xf>
    <xf numFmtId="0" fontId="25" fillId="0" borderId="32" xfId="1" applyFont="1" applyBorder="1" applyAlignment="1">
      <alignment horizontal="center" vertical="center"/>
    </xf>
    <xf numFmtId="0" fontId="24" fillId="0" borderId="34" xfId="0" applyFont="1" applyBorder="1" applyAlignment="1">
      <alignment horizontal="center" vertical="center"/>
    </xf>
    <xf numFmtId="2" fontId="24" fillId="0" borderId="35" xfId="0" applyNumberFormat="1" applyFont="1" applyBorder="1" applyAlignment="1">
      <alignment horizontal="center" vertical="center"/>
    </xf>
    <xf numFmtId="0" fontId="19" fillId="0" borderId="35" xfId="0" applyFont="1" applyBorder="1" applyAlignment="1">
      <alignment wrapText="1"/>
    </xf>
    <xf numFmtId="0" fontId="24" fillId="0" borderId="34" xfId="1" applyFont="1" applyBorder="1" applyAlignment="1">
      <alignment vertical="center" wrapText="1"/>
    </xf>
    <xf numFmtId="1" fontId="24" fillId="0" borderId="35" xfId="1" applyNumberFormat="1" applyFont="1" applyBorder="1" applyAlignment="1">
      <alignment horizontal="center" vertical="center" wrapText="1"/>
    </xf>
    <xf numFmtId="1" fontId="27" fillId="13" borderId="38" xfId="1" applyNumberFormat="1" applyFont="1" applyFill="1" applyBorder="1" applyAlignment="1">
      <alignment horizontal="center" vertical="center" wrapText="1"/>
    </xf>
    <xf numFmtId="0" fontId="24" fillId="0" borderId="33" xfId="0" applyFont="1" applyBorder="1" applyAlignment="1">
      <alignment vertical="center"/>
    </xf>
    <xf numFmtId="0" fontId="24" fillId="0" borderId="35" xfId="0" applyFont="1" applyBorder="1" applyAlignment="1">
      <alignment horizontal="center" vertical="center" wrapText="1"/>
    </xf>
    <xf numFmtId="0" fontId="29" fillId="4" borderId="31" xfId="0" applyFont="1" applyFill="1" applyBorder="1" applyAlignment="1">
      <alignment wrapText="1"/>
    </xf>
    <xf numFmtId="0" fontId="24" fillId="4" borderId="35" xfId="0" applyFont="1" applyFill="1" applyBorder="1" applyAlignment="1">
      <alignment horizontal="center" vertical="center" wrapText="1"/>
    </xf>
    <xf numFmtId="0" fontId="24" fillId="4" borderId="50" xfId="0" applyFont="1" applyFill="1" applyBorder="1"/>
    <xf numFmtId="0" fontId="24" fillId="4" borderId="31" xfId="0" applyFont="1" applyFill="1" applyBorder="1" applyAlignment="1">
      <alignment horizontal="center" vertical="center" wrapText="1"/>
    </xf>
    <xf numFmtId="0" fontId="24" fillId="4" borderId="33" xfId="0" applyFont="1" applyFill="1" applyBorder="1" applyAlignment="1">
      <alignment horizontal="center" vertical="center" wrapText="1"/>
    </xf>
    <xf numFmtId="0" fontId="24" fillId="0" borderId="42" xfId="0" applyFont="1" applyBorder="1" applyAlignment="1">
      <alignment horizontal="center" vertical="center"/>
    </xf>
    <xf numFmtId="0" fontId="24" fillId="4" borderId="1" xfId="0" applyFont="1" applyFill="1" applyBorder="1" applyAlignment="1">
      <alignment horizontal="left" vertical="center" wrapText="1"/>
    </xf>
    <xf numFmtId="1" fontId="24" fillId="0" borderId="31" xfId="1" applyNumberFormat="1" applyFont="1" applyBorder="1" applyAlignment="1">
      <alignment horizontal="center" vertical="center" wrapText="1"/>
    </xf>
    <xf numFmtId="1" fontId="24" fillId="4" borderId="35" xfId="1" applyNumberFormat="1" applyFont="1" applyFill="1" applyBorder="1" applyAlignment="1">
      <alignment horizontal="center" vertical="center" wrapText="1"/>
    </xf>
    <xf numFmtId="0" fontId="27" fillId="4" borderId="35" xfId="0" applyFont="1" applyFill="1" applyBorder="1" applyAlignment="1">
      <alignment horizontal="center" vertical="center"/>
    </xf>
    <xf numFmtId="0" fontId="27" fillId="4" borderId="41" xfId="0" applyFont="1" applyFill="1" applyBorder="1" applyAlignment="1">
      <alignment horizontal="center" vertical="center"/>
    </xf>
    <xf numFmtId="0" fontId="4" fillId="4" borderId="3" xfId="0" applyFont="1" applyFill="1" applyBorder="1" applyAlignment="1">
      <alignment horizontal="left" vertical="center"/>
    </xf>
    <xf numFmtId="0" fontId="4" fillId="0" borderId="3" xfId="0" applyFont="1" applyBorder="1" applyAlignment="1">
      <alignment vertical="center"/>
    </xf>
    <xf numFmtId="0" fontId="7" fillId="9" borderId="4" xfId="0" applyFont="1" applyFill="1" applyBorder="1" applyAlignment="1">
      <alignment horizontal="left" vertical="center"/>
    </xf>
    <xf numFmtId="0" fontId="0" fillId="9" borderId="5" xfId="0" applyFill="1" applyBorder="1" applyAlignment="1">
      <alignment vertical="center"/>
    </xf>
    <xf numFmtId="0" fontId="0" fillId="9" borderId="6" xfId="0" applyFill="1" applyBorder="1" applyAlignment="1">
      <alignment vertical="center"/>
    </xf>
    <xf numFmtId="0" fontId="4" fillId="9" borderId="1" xfId="0" applyFont="1" applyFill="1" applyBorder="1" applyAlignment="1">
      <alignment horizontal="center" vertical="center"/>
    </xf>
    <xf numFmtId="0" fontId="4" fillId="9" borderId="1" xfId="0" applyFont="1" applyFill="1" applyBorder="1" applyAlignment="1">
      <alignment horizontal="center" vertical="center" wrapText="1"/>
    </xf>
    <xf numFmtId="0" fontId="4" fillId="9" borderId="1" xfId="0" applyFont="1" applyFill="1" applyBorder="1" applyAlignment="1">
      <alignment vertical="center"/>
    </xf>
    <xf numFmtId="0" fontId="9" fillId="4" borderId="1" xfId="0" applyFont="1" applyFill="1" applyBorder="1" applyAlignment="1">
      <alignment horizontal="center" vertical="center" wrapText="1"/>
    </xf>
    <xf numFmtId="0" fontId="4" fillId="0" borderId="1" xfId="0" applyFont="1" applyBorder="1" applyAlignment="1">
      <alignment wrapText="1"/>
    </xf>
    <xf numFmtId="0" fontId="9" fillId="4" borderId="1" xfId="0" applyFont="1" applyFill="1" applyBorder="1" applyAlignment="1">
      <alignment horizontal="center" vertical="center"/>
    </xf>
    <xf numFmtId="0" fontId="9" fillId="4" borderId="3" xfId="0" applyFont="1" applyFill="1" applyBorder="1" applyAlignment="1">
      <alignment horizontal="center" vertical="center" wrapText="1"/>
    </xf>
    <xf numFmtId="0" fontId="4" fillId="0" borderId="3" xfId="0" applyFont="1" applyBorder="1" applyAlignment="1">
      <alignment horizontal="center" vertical="center"/>
    </xf>
    <xf numFmtId="0" fontId="3" fillId="0" borderId="3" xfId="0" applyFont="1" applyBorder="1" applyAlignment="1">
      <alignment horizontal="center" vertical="center"/>
    </xf>
    <xf numFmtId="0" fontId="4" fillId="0" borderId="3" xfId="0" applyFont="1" applyBorder="1" applyAlignment="1">
      <alignment horizontal="left" vertical="center"/>
    </xf>
    <xf numFmtId="0" fontId="4" fillId="4" borderId="3" xfId="0" applyFont="1" applyFill="1" applyBorder="1" applyAlignment="1">
      <alignment horizontal="left" wrapText="1"/>
    </xf>
    <xf numFmtId="0" fontId="36" fillId="4" borderId="31" xfId="0" applyFont="1" applyFill="1" applyBorder="1" applyAlignment="1">
      <alignment vertical="center"/>
    </xf>
    <xf numFmtId="0" fontId="36" fillId="0" borderId="33" xfId="0" applyFont="1" applyBorder="1" applyAlignment="1">
      <alignment vertical="center" wrapText="1"/>
    </xf>
    <xf numFmtId="0" fontId="36" fillId="0" borderId="33" xfId="0" applyFont="1" applyBorder="1" applyAlignment="1">
      <alignment horizontal="left" vertical="center" wrapText="1"/>
    </xf>
    <xf numFmtId="0" fontId="36" fillId="0" borderId="34" xfId="0" applyFont="1" applyBorder="1" applyAlignment="1">
      <alignment horizontal="center" vertical="center"/>
    </xf>
    <xf numFmtId="0" fontId="36" fillId="0" borderId="3" xfId="0" applyFont="1" applyBorder="1" applyAlignment="1">
      <alignment vertical="center" wrapText="1"/>
    </xf>
    <xf numFmtId="20" fontId="36" fillId="0" borderId="9" xfId="1" applyNumberFormat="1" applyFont="1" applyBorder="1" applyAlignment="1">
      <alignment horizontal="left" vertical="center" wrapText="1"/>
    </xf>
    <xf numFmtId="0" fontId="36" fillId="0" borderId="37" xfId="0" applyFont="1" applyBorder="1" applyAlignment="1">
      <alignment vertical="center"/>
    </xf>
    <xf numFmtId="0" fontId="36" fillId="0" borderId="27" xfId="0" applyFont="1" applyBorder="1" applyAlignment="1">
      <alignment vertical="center" wrapText="1"/>
    </xf>
    <xf numFmtId="20" fontId="36" fillId="0" borderId="28" xfId="1" applyNumberFormat="1" applyFont="1" applyBorder="1" applyAlignment="1">
      <alignment horizontal="left" vertical="center" wrapText="1"/>
    </xf>
    <xf numFmtId="0" fontId="36" fillId="0" borderId="29" xfId="0" applyFont="1" applyBorder="1" applyAlignment="1">
      <alignment vertical="center"/>
    </xf>
    <xf numFmtId="49" fontId="36" fillId="0" borderId="29" xfId="1" applyNumberFormat="1" applyFont="1" applyBorder="1" applyAlignment="1">
      <alignment horizontal="center" vertical="center"/>
    </xf>
    <xf numFmtId="20" fontId="36" fillId="0" borderId="28" xfId="1" applyNumberFormat="1" applyFont="1" applyBorder="1" applyAlignment="1">
      <alignment horizontal="center" vertical="center" wrapText="1"/>
    </xf>
    <xf numFmtId="0" fontId="36" fillId="0" borderId="33" xfId="1" applyFont="1" applyBorder="1" applyAlignment="1">
      <alignment vertical="center" wrapText="1"/>
    </xf>
    <xf numFmtId="0" fontId="36" fillId="4" borderId="34" xfId="0" applyFont="1" applyFill="1" applyBorder="1" applyAlignment="1">
      <alignment horizontal="center" vertical="center"/>
    </xf>
    <xf numFmtId="0" fontId="36" fillId="0" borderId="35" xfId="0" applyFont="1" applyBorder="1"/>
    <xf numFmtId="0" fontId="36" fillId="4" borderId="27" xfId="0" applyFont="1" applyFill="1" applyBorder="1" applyAlignment="1">
      <alignment vertical="center" wrapText="1"/>
    </xf>
    <xf numFmtId="0" fontId="36" fillId="4" borderId="35" xfId="0" applyFont="1" applyFill="1" applyBorder="1" applyAlignment="1">
      <alignment vertical="center"/>
    </xf>
    <xf numFmtId="0" fontId="36" fillId="4" borderId="33" xfId="1" applyFont="1" applyFill="1" applyBorder="1" applyAlignment="1">
      <alignment vertical="center" wrapText="1"/>
    </xf>
    <xf numFmtId="20" fontId="36" fillId="4" borderId="28" xfId="1" applyNumberFormat="1" applyFont="1" applyFill="1" applyBorder="1" applyAlignment="1">
      <alignment horizontal="center" vertical="center" wrapText="1"/>
    </xf>
    <xf numFmtId="0" fontId="37" fillId="4" borderId="52" xfId="0" applyFont="1" applyFill="1" applyBorder="1"/>
    <xf numFmtId="0" fontId="36" fillId="4" borderId="33" xfId="0" applyFont="1" applyFill="1" applyBorder="1" applyAlignment="1">
      <alignment vertical="center" wrapText="1"/>
    </xf>
    <xf numFmtId="0" fontId="36" fillId="0" borderId="3" xfId="1" applyFont="1" applyBorder="1" applyAlignment="1">
      <alignment vertical="center" wrapText="1"/>
    </xf>
    <xf numFmtId="0" fontId="36" fillId="4" borderId="3" xfId="0" applyFont="1" applyFill="1" applyBorder="1" applyAlignment="1">
      <alignment vertical="center" wrapText="1"/>
    </xf>
    <xf numFmtId="20" fontId="36" fillId="4" borderId="9" xfId="1" applyNumberFormat="1" applyFont="1" applyFill="1" applyBorder="1" applyAlignment="1">
      <alignment horizontal="center" vertical="center" wrapText="1"/>
    </xf>
    <xf numFmtId="0" fontId="37" fillId="4" borderId="56" xfId="0" applyFont="1" applyFill="1" applyBorder="1"/>
    <xf numFmtId="20" fontId="36" fillId="0" borderId="27" xfId="1" applyNumberFormat="1" applyFont="1" applyBorder="1" applyAlignment="1">
      <alignment horizontal="center" vertical="center" wrapText="1"/>
    </xf>
    <xf numFmtId="0" fontId="37" fillId="0" borderId="27" xfId="0" applyFont="1" applyBorder="1"/>
    <xf numFmtId="0" fontId="36" fillId="4" borderId="33" xfId="0" applyFont="1" applyFill="1" applyBorder="1" applyAlignment="1">
      <alignment vertical="center"/>
    </xf>
    <xf numFmtId="0" fontId="36" fillId="4" borderId="31" xfId="0" applyFont="1" applyFill="1" applyBorder="1"/>
    <xf numFmtId="20" fontId="36" fillId="0" borderId="9" xfId="1" applyNumberFormat="1" applyFont="1" applyBorder="1" applyAlignment="1">
      <alignment horizontal="center" vertical="center" wrapText="1"/>
    </xf>
    <xf numFmtId="0" fontId="36" fillId="0" borderId="27" xfId="1" applyFont="1" applyBorder="1" applyAlignment="1">
      <alignment vertical="center" wrapText="1"/>
    </xf>
    <xf numFmtId="20" fontId="36" fillId="0" borderId="29" xfId="1" applyNumberFormat="1" applyFont="1" applyBorder="1" applyAlignment="1">
      <alignment horizontal="left" vertical="center" wrapText="1"/>
    </xf>
    <xf numFmtId="0" fontId="36" fillId="0" borderId="27" xfId="0" applyFont="1" applyBorder="1" applyAlignment="1">
      <alignment horizontal="left" vertical="center" wrapText="1"/>
    </xf>
    <xf numFmtId="0" fontId="36" fillId="0" borderId="29" xfId="0" applyFont="1" applyBorder="1"/>
    <xf numFmtId="0" fontId="36" fillId="0" borderId="34" xfId="0" applyFont="1" applyBorder="1" applyAlignment="1">
      <alignment horizontal="left" vertical="center"/>
    </xf>
    <xf numFmtId="0" fontId="36" fillId="0" borderId="26" xfId="0" applyFont="1" applyBorder="1" applyAlignment="1">
      <alignment vertical="center" wrapText="1"/>
    </xf>
    <xf numFmtId="0" fontId="36" fillId="0" borderId="28" xfId="0" applyFont="1" applyBorder="1" applyAlignment="1">
      <alignment horizontal="left" vertical="center"/>
    </xf>
    <xf numFmtId="0" fontId="36" fillId="0" borderId="49" xfId="0" applyFont="1" applyBorder="1" applyAlignment="1">
      <alignment vertical="center"/>
    </xf>
    <xf numFmtId="0" fontId="36" fillId="4" borderId="34" xfId="0" applyFont="1" applyFill="1" applyBorder="1" applyAlignment="1">
      <alignment vertical="center"/>
    </xf>
    <xf numFmtId="0" fontId="34" fillId="0" borderId="51" xfId="0" applyFont="1" applyBorder="1"/>
    <xf numFmtId="0" fontId="35" fillId="0" borderId="3" xfId="0" applyFont="1" applyBorder="1" applyAlignment="1">
      <alignment vertical="center" wrapText="1"/>
    </xf>
    <xf numFmtId="20" fontId="35" fillId="0" borderId="9" xfId="1" applyNumberFormat="1" applyFont="1" applyBorder="1" applyAlignment="1">
      <alignment vertical="center" wrapText="1"/>
    </xf>
    <xf numFmtId="0" fontId="36" fillId="0" borderId="37" xfId="0" applyFont="1" applyBorder="1"/>
    <xf numFmtId="0" fontId="34" fillId="0" borderId="37" xfId="0" applyFont="1" applyBorder="1"/>
    <xf numFmtId="0" fontId="34" fillId="0" borderId="29" xfId="0" applyFont="1" applyBorder="1"/>
    <xf numFmtId="0" fontId="36" fillId="0" borderId="28" xfId="0" applyFont="1" applyBorder="1" applyAlignment="1">
      <alignment horizontal="center" vertical="center"/>
    </xf>
    <xf numFmtId="0" fontId="29" fillId="4" borderId="8" xfId="1" applyFont="1" applyFill="1" applyBorder="1" applyAlignment="1">
      <alignment vertical="center" wrapText="1"/>
    </xf>
    <xf numFmtId="0" fontId="29" fillId="0" borderId="65" xfId="0" applyFont="1" applyBorder="1" applyAlignment="1">
      <alignment vertical="center"/>
    </xf>
    <xf numFmtId="0" fontId="24" fillId="0" borderId="2" xfId="0" applyFont="1" applyBorder="1" applyAlignment="1">
      <alignment horizontal="center" vertical="center" wrapText="1"/>
    </xf>
    <xf numFmtId="0" fontId="24" fillId="4" borderId="4" xfId="0" applyFont="1" applyFill="1" applyBorder="1" applyAlignment="1">
      <alignment horizontal="center" vertical="center" wrapText="1"/>
    </xf>
    <xf numFmtId="0" fontId="24" fillId="4" borderId="7" xfId="0" applyFont="1" applyFill="1" applyBorder="1" applyAlignment="1">
      <alignment horizontal="center" vertical="center"/>
    </xf>
    <xf numFmtId="0" fontId="29" fillId="4" borderId="54" xfId="0" applyFont="1" applyFill="1" applyBorder="1" applyAlignment="1">
      <alignment wrapText="1"/>
    </xf>
    <xf numFmtId="0" fontId="24" fillId="4" borderId="1" xfId="0" applyFont="1" applyFill="1" applyBorder="1" applyAlignment="1">
      <alignment horizontal="left" vertical="center"/>
    </xf>
    <xf numFmtId="0" fontId="24" fillId="0" borderId="33" xfId="0" applyFont="1" applyBorder="1" applyAlignment="1">
      <alignment horizontal="left" vertical="center"/>
    </xf>
    <xf numFmtId="49" fontId="38" fillId="0" borderId="29" xfId="0" applyNumberFormat="1" applyFont="1" applyBorder="1" applyAlignment="1">
      <alignment horizontal="center" vertical="center"/>
    </xf>
    <xf numFmtId="49" fontId="38" fillId="0" borderId="40" xfId="0" applyNumberFormat="1" applyFont="1" applyBorder="1" applyAlignment="1">
      <alignment horizontal="center" vertical="center"/>
    </xf>
    <xf numFmtId="1" fontId="29" fillId="4" borderId="35" xfId="0" applyNumberFormat="1" applyFont="1" applyFill="1" applyBorder="1" applyAlignment="1">
      <alignment horizontal="center" vertical="center"/>
    </xf>
    <xf numFmtId="1" fontId="24" fillId="0" borderId="54" xfId="1" applyNumberFormat="1" applyFont="1" applyBorder="1" applyAlignment="1">
      <alignment horizontal="center" vertical="center" wrapText="1"/>
    </xf>
    <xf numFmtId="0" fontId="29" fillId="0" borderId="29" xfId="0" applyFont="1" applyBorder="1" applyAlignment="1">
      <alignment horizontal="center" vertical="center" wrapText="1"/>
    </xf>
    <xf numFmtId="0" fontId="24" fillId="4" borderId="29" xfId="0" applyFont="1" applyFill="1" applyBorder="1" applyAlignment="1">
      <alignment horizontal="center" vertical="center" wrapText="1"/>
    </xf>
    <xf numFmtId="0" fontId="24" fillId="4" borderId="37" xfId="0" applyFont="1" applyFill="1" applyBorder="1" applyAlignment="1">
      <alignment horizontal="center" vertical="center" wrapText="1"/>
    </xf>
    <xf numFmtId="0" fontId="24" fillId="0" borderId="27" xfId="0" applyFont="1" applyBorder="1" applyAlignment="1">
      <alignment horizontal="center" vertical="center" wrapText="1"/>
    </xf>
    <xf numFmtId="0" fontId="24" fillId="0" borderId="40" xfId="0" applyFont="1" applyBorder="1" applyAlignment="1">
      <alignment horizontal="center" vertical="center"/>
    </xf>
    <xf numFmtId="49" fontId="28" fillId="0" borderId="29" xfId="0" applyNumberFormat="1" applyFont="1" applyBorder="1" applyAlignment="1">
      <alignment horizontal="center" vertical="center"/>
    </xf>
    <xf numFmtId="1" fontId="24" fillId="4" borderId="42" xfId="0" applyNumberFormat="1" applyFont="1" applyFill="1" applyBorder="1" applyAlignment="1">
      <alignment horizontal="center" vertical="center"/>
    </xf>
    <xf numFmtId="49" fontId="24" fillId="0" borderId="54" xfId="1" applyNumberFormat="1" applyFont="1" applyBorder="1" applyAlignment="1">
      <alignment horizontal="left" vertical="center"/>
    </xf>
    <xf numFmtId="49" fontId="29" fillId="4" borderId="35" xfId="1" applyNumberFormat="1" applyFont="1" applyFill="1" applyBorder="1" applyAlignment="1">
      <alignment horizontal="left" vertical="center"/>
    </xf>
    <xf numFmtId="0" fontId="29" fillId="4" borderId="31" xfId="0" applyFont="1" applyFill="1" applyBorder="1" applyAlignment="1">
      <alignment horizontal="left" vertical="center" wrapText="1"/>
    </xf>
    <xf numFmtId="0" fontId="24" fillId="4" borderId="2" xfId="0" applyFont="1" applyFill="1" applyBorder="1"/>
    <xf numFmtId="0" fontId="33" fillId="11" borderId="4" xfId="0" applyFont="1" applyFill="1" applyBorder="1" applyAlignment="1">
      <alignment horizontal="left" vertical="center"/>
    </xf>
    <xf numFmtId="0" fontId="33" fillId="11" borderId="5" xfId="0" applyFont="1" applyFill="1" applyBorder="1" applyAlignment="1">
      <alignment horizontal="left" vertical="center"/>
    </xf>
    <xf numFmtId="0" fontId="33" fillId="11" borderId="8" xfId="0" applyFont="1" applyFill="1" applyBorder="1" applyAlignment="1">
      <alignment horizontal="left" vertical="center"/>
    </xf>
    <xf numFmtId="0" fontId="7" fillId="4" borderId="4" xfId="0" applyFont="1" applyFill="1" applyBorder="1" applyAlignment="1">
      <alignment horizontal="left" vertical="center"/>
    </xf>
    <xf numFmtId="0" fontId="7" fillId="4" borderId="5" xfId="0" applyFont="1" applyFill="1" applyBorder="1" applyAlignment="1">
      <alignment horizontal="left" vertical="center"/>
    </xf>
    <xf numFmtId="0" fontId="7" fillId="4" borderId="8" xfId="0" applyFont="1" applyFill="1" applyBorder="1" applyAlignment="1">
      <alignment horizontal="left" vertical="center"/>
    </xf>
    <xf numFmtId="0" fontId="14" fillId="10" borderId="1" xfId="0" applyFont="1" applyFill="1" applyBorder="1" applyAlignment="1">
      <alignment horizontal="left"/>
    </xf>
    <xf numFmtId="0" fontId="2" fillId="6" borderId="1" xfId="0" applyFont="1" applyFill="1" applyBorder="1" applyAlignment="1">
      <alignment horizontal="left"/>
    </xf>
    <xf numFmtId="0" fontId="7" fillId="4" borderId="1" xfId="0" applyFont="1" applyFill="1" applyBorder="1" applyAlignment="1">
      <alignment horizontal="left"/>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2" fillId="2" borderId="8" xfId="0" applyFont="1" applyFill="1" applyBorder="1" applyAlignment="1">
      <alignment horizontal="left" vertical="center"/>
    </xf>
    <xf numFmtId="0" fontId="22" fillId="0" borderId="11" xfId="0" applyFont="1" applyBorder="1" applyAlignment="1">
      <alignment horizontal="center"/>
    </xf>
    <xf numFmtId="0" fontId="22" fillId="0" borderId="12" xfId="0" applyFont="1" applyBorder="1" applyAlignment="1">
      <alignment horizontal="center"/>
    </xf>
    <xf numFmtId="0" fontId="22" fillId="0" borderId="21" xfId="0" applyFont="1" applyBorder="1" applyAlignment="1">
      <alignment horizontal="center"/>
    </xf>
    <xf numFmtId="0" fontId="2" fillId="0" borderId="11" xfId="0" applyFont="1" applyBorder="1" applyAlignment="1">
      <alignment horizontal="left"/>
    </xf>
    <xf numFmtId="0" fontId="2" fillId="0" borderId="12" xfId="0" applyFont="1" applyBorder="1" applyAlignment="1">
      <alignment horizontal="left"/>
    </xf>
    <xf numFmtId="0" fontId="2" fillId="0" borderId="13" xfId="0" applyFont="1" applyBorder="1" applyAlignment="1">
      <alignment horizontal="left"/>
    </xf>
    <xf numFmtId="0" fontId="17" fillId="9" borderId="11" xfId="0" applyFont="1" applyFill="1" applyBorder="1" applyAlignment="1">
      <alignment horizontal="left" vertical="center"/>
    </xf>
    <xf numFmtId="0" fontId="17" fillId="9" borderId="12" xfId="0" applyFont="1" applyFill="1" applyBorder="1" applyAlignment="1">
      <alignment horizontal="left" vertical="center"/>
    </xf>
    <xf numFmtId="0" fontId="17" fillId="9" borderId="13" xfId="0" applyFont="1" applyFill="1" applyBorder="1" applyAlignment="1">
      <alignment horizontal="left" vertical="center"/>
    </xf>
    <xf numFmtId="0" fontId="19" fillId="4" borderId="16" xfId="0" applyFont="1" applyFill="1" applyBorder="1" applyAlignment="1">
      <alignment horizontal="center" vertical="center" wrapText="1"/>
    </xf>
    <xf numFmtId="0" fontId="19" fillId="4" borderId="17" xfId="0" applyFont="1" applyFill="1" applyBorder="1" applyAlignment="1">
      <alignment horizontal="center" vertical="center" wrapText="1"/>
    </xf>
    <xf numFmtId="0" fontId="17" fillId="9" borderId="45" xfId="0" applyFont="1" applyFill="1" applyBorder="1" applyAlignment="1">
      <alignment horizontal="left" vertical="center"/>
    </xf>
    <xf numFmtId="0" fontId="17" fillId="9" borderId="46" xfId="0" applyFont="1" applyFill="1" applyBorder="1" applyAlignment="1">
      <alignment horizontal="left" vertical="center"/>
    </xf>
    <xf numFmtId="0" fontId="19" fillId="4" borderId="46" xfId="0" applyFont="1" applyFill="1" applyBorder="1" applyAlignment="1">
      <alignment horizontal="center" vertical="center" wrapText="1"/>
    </xf>
    <xf numFmtId="0" fontId="4" fillId="0" borderId="10"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cellXfs>
  <cellStyles count="2">
    <cellStyle name="Normal" xfId="0" builtinId="0"/>
    <cellStyle name="Normal 2" xfId="1" xr:uid="{2F66FF5A-72E8-45E5-A032-B0A731DB9E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0E84-F862-4DED-951E-48AFC5DFF5AC}">
  <dimension ref="A1:J306"/>
  <sheetViews>
    <sheetView tabSelected="1" zoomScale="70" zoomScaleNormal="70" workbookViewId="0"/>
  </sheetViews>
  <sheetFormatPr defaultColWidth="9.109375" defaultRowHeight="15.6" x14ac:dyDescent="0.3"/>
  <cols>
    <col min="1" max="1" width="4.6640625" style="74" bestFit="1" customWidth="1"/>
    <col min="2" max="2" width="52.6640625" style="56" customWidth="1"/>
    <col min="3" max="3" width="40.5546875" style="56" bestFit="1" customWidth="1"/>
    <col min="4" max="4" width="4.5546875" style="56" bestFit="1" customWidth="1"/>
    <col min="5" max="5" width="5.88671875" style="74" bestFit="1" customWidth="1"/>
    <col min="6" max="6" width="9" style="59" bestFit="1" customWidth="1"/>
    <col min="7" max="7" width="10" style="56" bestFit="1" customWidth="1"/>
    <col min="8" max="8" width="56" style="75" customWidth="1"/>
    <col min="9" max="9" width="60.33203125" style="74" customWidth="1"/>
    <col min="10" max="10" width="30.6640625" style="55" bestFit="1" customWidth="1"/>
    <col min="11" max="11" width="52" style="56" customWidth="1"/>
    <col min="12" max="256" width="9.109375" style="56"/>
    <col min="257" max="257" width="4.6640625" style="56" bestFit="1" customWidth="1"/>
    <col min="258" max="258" width="52.6640625" style="56" customWidth="1"/>
    <col min="259" max="259" width="40.5546875" style="56" bestFit="1" customWidth="1"/>
    <col min="260" max="260" width="4.5546875" style="56" bestFit="1" customWidth="1"/>
    <col min="261" max="261" width="5.88671875" style="56" bestFit="1" customWidth="1"/>
    <col min="262" max="262" width="9" style="56" bestFit="1" customWidth="1"/>
    <col min="263" max="263" width="9" style="56" customWidth="1"/>
    <col min="264" max="264" width="56" style="56" customWidth="1"/>
    <col min="265" max="265" width="58" style="56" customWidth="1"/>
    <col min="266" max="266" width="43.6640625" style="56" customWidth="1"/>
    <col min="267" max="267" width="52" style="56" customWidth="1"/>
    <col min="268" max="512" width="9.109375" style="56"/>
    <col min="513" max="513" width="4.6640625" style="56" bestFit="1" customWidth="1"/>
    <col min="514" max="514" width="52.6640625" style="56" customWidth="1"/>
    <col min="515" max="515" width="40.5546875" style="56" bestFit="1" customWidth="1"/>
    <col min="516" max="516" width="4.5546875" style="56" bestFit="1" customWidth="1"/>
    <col min="517" max="517" width="5.88671875" style="56" bestFit="1" customWidth="1"/>
    <col min="518" max="518" width="9" style="56" bestFit="1" customWidth="1"/>
    <col min="519" max="519" width="9" style="56" customWidth="1"/>
    <col min="520" max="520" width="56" style="56" customWidth="1"/>
    <col min="521" max="521" width="58" style="56" customWidth="1"/>
    <col min="522" max="522" width="43.6640625" style="56" customWidth="1"/>
    <col min="523" max="523" width="52" style="56" customWidth="1"/>
    <col min="524" max="768" width="9.109375" style="56"/>
    <col min="769" max="769" width="4.6640625" style="56" bestFit="1" customWidth="1"/>
    <col min="770" max="770" width="52.6640625" style="56" customWidth="1"/>
    <col min="771" max="771" width="40.5546875" style="56" bestFit="1" customWidth="1"/>
    <col min="772" max="772" width="4.5546875" style="56" bestFit="1" customWidth="1"/>
    <col min="773" max="773" width="5.88671875" style="56" bestFit="1" customWidth="1"/>
    <col min="774" max="774" width="9" style="56" bestFit="1" customWidth="1"/>
    <col min="775" max="775" width="9" style="56" customWidth="1"/>
    <col min="776" max="776" width="56" style="56" customWidth="1"/>
    <col min="777" max="777" width="58" style="56" customWidth="1"/>
    <col min="778" max="778" width="43.6640625" style="56" customWidth="1"/>
    <col min="779" max="779" width="52" style="56" customWidth="1"/>
    <col min="780" max="1024" width="9.109375" style="56"/>
    <col min="1025" max="1025" width="4.6640625" style="56" bestFit="1" customWidth="1"/>
    <col min="1026" max="1026" width="52.6640625" style="56" customWidth="1"/>
    <col min="1027" max="1027" width="40.5546875" style="56" bestFit="1" customWidth="1"/>
    <col min="1028" max="1028" width="4.5546875" style="56" bestFit="1" customWidth="1"/>
    <col min="1029" max="1029" width="5.88671875" style="56" bestFit="1" customWidth="1"/>
    <col min="1030" max="1030" width="9" style="56" bestFit="1" customWidth="1"/>
    <col min="1031" max="1031" width="9" style="56" customWidth="1"/>
    <col min="1032" max="1032" width="56" style="56" customWidth="1"/>
    <col min="1033" max="1033" width="58" style="56" customWidth="1"/>
    <col min="1034" max="1034" width="43.6640625" style="56" customWidth="1"/>
    <col min="1035" max="1035" width="52" style="56" customWidth="1"/>
    <col min="1036" max="1280" width="9.109375" style="56"/>
    <col min="1281" max="1281" width="4.6640625" style="56" bestFit="1" customWidth="1"/>
    <col min="1282" max="1282" width="52.6640625" style="56" customWidth="1"/>
    <col min="1283" max="1283" width="40.5546875" style="56" bestFit="1" customWidth="1"/>
    <col min="1284" max="1284" width="4.5546875" style="56" bestFit="1" customWidth="1"/>
    <col min="1285" max="1285" width="5.88671875" style="56" bestFit="1" customWidth="1"/>
    <col min="1286" max="1286" width="9" style="56" bestFit="1" customWidth="1"/>
    <col min="1287" max="1287" width="9" style="56" customWidth="1"/>
    <col min="1288" max="1288" width="56" style="56" customWidth="1"/>
    <col min="1289" max="1289" width="58" style="56" customWidth="1"/>
    <col min="1290" max="1290" width="43.6640625" style="56" customWidth="1"/>
    <col min="1291" max="1291" width="52" style="56" customWidth="1"/>
    <col min="1292" max="1536" width="9.109375" style="56"/>
    <col min="1537" max="1537" width="4.6640625" style="56" bestFit="1" customWidth="1"/>
    <col min="1538" max="1538" width="52.6640625" style="56" customWidth="1"/>
    <col min="1539" max="1539" width="40.5546875" style="56" bestFit="1" customWidth="1"/>
    <col min="1540" max="1540" width="4.5546875" style="56" bestFit="1" customWidth="1"/>
    <col min="1541" max="1541" width="5.88671875" style="56" bestFit="1" customWidth="1"/>
    <col min="1542" max="1542" width="9" style="56" bestFit="1" customWidth="1"/>
    <col min="1543" max="1543" width="9" style="56" customWidth="1"/>
    <col min="1544" max="1544" width="56" style="56" customWidth="1"/>
    <col min="1545" max="1545" width="58" style="56" customWidth="1"/>
    <col min="1546" max="1546" width="43.6640625" style="56" customWidth="1"/>
    <col min="1547" max="1547" width="52" style="56" customWidth="1"/>
    <col min="1548" max="1792" width="9.109375" style="56"/>
    <col min="1793" max="1793" width="4.6640625" style="56" bestFit="1" customWidth="1"/>
    <col min="1794" max="1794" width="52.6640625" style="56" customWidth="1"/>
    <col min="1795" max="1795" width="40.5546875" style="56" bestFit="1" customWidth="1"/>
    <col min="1796" max="1796" width="4.5546875" style="56" bestFit="1" customWidth="1"/>
    <col min="1797" max="1797" width="5.88671875" style="56" bestFit="1" customWidth="1"/>
    <col min="1798" max="1798" width="9" style="56" bestFit="1" customWidth="1"/>
    <col min="1799" max="1799" width="9" style="56" customWidth="1"/>
    <col min="1800" max="1800" width="56" style="56" customWidth="1"/>
    <col min="1801" max="1801" width="58" style="56" customWidth="1"/>
    <col min="1802" max="1802" width="43.6640625" style="56" customWidth="1"/>
    <col min="1803" max="1803" width="52" style="56" customWidth="1"/>
    <col min="1804" max="2048" width="9.109375" style="56"/>
    <col min="2049" max="2049" width="4.6640625" style="56" bestFit="1" customWidth="1"/>
    <col min="2050" max="2050" width="52.6640625" style="56" customWidth="1"/>
    <col min="2051" max="2051" width="40.5546875" style="56" bestFit="1" customWidth="1"/>
    <col min="2052" max="2052" width="4.5546875" style="56" bestFit="1" customWidth="1"/>
    <col min="2053" max="2053" width="5.88671875" style="56" bestFit="1" customWidth="1"/>
    <col min="2054" max="2054" width="9" style="56" bestFit="1" customWidth="1"/>
    <col min="2055" max="2055" width="9" style="56" customWidth="1"/>
    <col min="2056" max="2056" width="56" style="56" customWidth="1"/>
    <col min="2057" max="2057" width="58" style="56" customWidth="1"/>
    <col min="2058" max="2058" width="43.6640625" style="56" customWidth="1"/>
    <col min="2059" max="2059" width="52" style="56" customWidth="1"/>
    <col min="2060" max="2304" width="9.109375" style="56"/>
    <col min="2305" max="2305" width="4.6640625" style="56" bestFit="1" customWidth="1"/>
    <col min="2306" max="2306" width="52.6640625" style="56" customWidth="1"/>
    <col min="2307" max="2307" width="40.5546875" style="56" bestFit="1" customWidth="1"/>
    <col min="2308" max="2308" width="4.5546875" style="56" bestFit="1" customWidth="1"/>
    <col min="2309" max="2309" width="5.88671875" style="56" bestFit="1" customWidth="1"/>
    <col min="2310" max="2310" width="9" style="56" bestFit="1" customWidth="1"/>
    <col min="2311" max="2311" width="9" style="56" customWidth="1"/>
    <col min="2312" max="2312" width="56" style="56" customWidth="1"/>
    <col min="2313" max="2313" width="58" style="56" customWidth="1"/>
    <col min="2314" max="2314" width="43.6640625" style="56" customWidth="1"/>
    <col min="2315" max="2315" width="52" style="56" customWidth="1"/>
    <col min="2316" max="2560" width="9.109375" style="56"/>
    <col min="2561" max="2561" width="4.6640625" style="56" bestFit="1" customWidth="1"/>
    <col min="2562" max="2562" width="52.6640625" style="56" customWidth="1"/>
    <col min="2563" max="2563" width="40.5546875" style="56" bestFit="1" customWidth="1"/>
    <col min="2564" max="2564" width="4.5546875" style="56" bestFit="1" customWidth="1"/>
    <col min="2565" max="2565" width="5.88671875" style="56" bestFit="1" customWidth="1"/>
    <col min="2566" max="2566" width="9" style="56" bestFit="1" customWidth="1"/>
    <col min="2567" max="2567" width="9" style="56" customWidth="1"/>
    <col min="2568" max="2568" width="56" style="56" customWidth="1"/>
    <col min="2569" max="2569" width="58" style="56" customWidth="1"/>
    <col min="2570" max="2570" width="43.6640625" style="56" customWidth="1"/>
    <col min="2571" max="2571" width="52" style="56" customWidth="1"/>
    <col min="2572" max="2816" width="9.109375" style="56"/>
    <col min="2817" max="2817" width="4.6640625" style="56" bestFit="1" customWidth="1"/>
    <col min="2818" max="2818" width="52.6640625" style="56" customWidth="1"/>
    <col min="2819" max="2819" width="40.5546875" style="56" bestFit="1" customWidth="1"/>
    <col min="2820" max="2820" width="4.5546875" style="56" bestFit="1" customWidth="1"/>
    <col min="2821" max="2821" width="5.88671875" style="56" bestFit="1" customWidth="1"/>
    <col min="2822" max="2822" width="9" style="56" bestFit="1" customWidth="1"/>
    <col min="2823" max="2823" width="9" style="56" customWidth="1"/>
    <col min="2824" max="2824" width="56" style="56" customWidth="1"/>
    <col min="2825" max="2825" width="58" style="56" customWidth="1"/>
    <col min="2826" max="2826" width="43.6640625" style="56" customWidth="1"/>
    <col min="2827" max="2827" width="52" style="56" customWidth="1"/>
    <col min="2828" max="3072" width="9.109375" style="56"/>
    <col min="3073" max="3073" width="4.6640625" style="56" bestFit="1" customWidth="1"/>
    <col min="3074" max="3074" width="52.6640625" style="56" customWidth="1"/>
    <col min="3075" max="3075" width="40.5546875" style="56" bestFit="1" customWidth="1"/>
    <col min="3076" max="3076" width="4.5546875" style="56" bestFit="1" customWidth="1"/>
    <col min="3077" max="3077" width="5.88671875" style="56" bestFit="1" customWidth="1"/>
    <col min="3078" max="3078" width="9" style="56" bestFit="1" customWidth="1"/>
    <col min="3079" max="3079" width="9" style="56" customWidth="1"/>
    <col min="3080" max="3080" width="56" style="56" customWidth="1"/>
    <col min="3081" max="3081" width="58" style="56" customWidth="1"/>
    <col min="3082" max="3082" width="43.6640625" style="56" customWidth="1"/>
    <col min="3083" max="3083" width="52" style="56" customWidth="1"/>
    <col min="3084" max="3328" width="9.109375" style="56"/>
    <col min="3329" max="3329" width="4.6640625" style="56" bestFit="1" customWidth="1"/>
    <col min="3330" max="3330" width="52.6640625" style="56" customWidth="1"/>
    <col min="3331" max="3331" width="40.5546875" style="56" bestFit="1" customWidth="1"/>
    <col min="3332" max="3332" width="4.5546875" style="56" bestFit="1" customWidth="1"/>
    <col min="3333" max="3333" width="5.88671875" style="56" bestFit="1" customWidth="1"/>
    <col min="3334" max="3334" width="9" style="56" bestFit="1" customWidth="1"/>
    <col min="3335" max="3335" width="9" style="56" customWidth="1"/>
    <col min="3336" max="3336" width="56" style="56" customWidth="1"/>
    <col min="3337" max="3337" width="58" style="56" customWidth="1"/>
    <col min="3338" max="3338" width="43.6640625" style="56" customWidth="1"/>
    <col min="3339" max="3339" width="52" style="56" customWidth="1"/>
    <col min="3340" max="3584" width="9.109375" style="56"/>
    <col min="3585" max="3585" width="4.6640625" style="56" bestFit="1" customWidth="1"/>
    <col min="3586" max="3586" width="52.6640625" style="56" customWidth="1"/>
    <col min="3587" max="3587" width="40.5546875" style="56" bestFit="1" customWidth="1"/>
    <col min="3588" max="3588" width="4.5546875" style="56" bestFit="1" customWidth="1"/>
    <col min="3589" max="3589" width="5.88671875" style="56" bestFit="1" customWidth="1"/>
    <col min="3590" max="3590" width="9" style="56" bestFit="1" customWidth="1"/>
    <col min="3591" max="3591" width="9" style="56" customWidth="1"/>
    <col min="3592" max="3592" width="56" style="56" customWidth="1"/>
    <col min="3593" max="3593" width="58" style="56" customWidth="1"/>
    <col min="3594" max="3594" width="43.6640625" style="56" customWidth="1"/>
    <col min="3595" max="3595" width="52" style="56" customWidth="1"/>
    <col min="3596" max="3840" width="9.109375" style="56"/>
    <col min="3841" max="3841" width="4.6640625" style="56" bestFit="1" customWidth="1"/>
    <col min="3842" max="3842" width="52.6640625" style="56" customWidth="1"/>
    <col min="3843" max="3843" width="40.5546875" style="56" bestFit="1" customWidth="1"/>
    <col min="3844" max="3844" width="4.5546875" style="56" bestFit="1" customWidth="1"/>
    <col min="3845" max="3845" width="5.88671875" style="56" bestFit="1" customWidth="1"/>
    <col min="3846" max="3846" width="9" style="56" bestFit="1" customWidth="1"/>
    <col min="3847" max="3847" width="9" style="56" customWidth="1"/>
    <col min="3848" max="3848" width="56" style="56" customWidth="1"/>
    <col min="3849" max="3849" width="58" style="56" customWidth="1"/>
    <col min="3850" max="3850" width="43.6640625" style="56" customWidth="1"/>
    <col min="3851" max="3851" width="52" style="56" customWidth="1"/>
    <col min="3852" max="4096" width="9.109375" style="56"/>
    <col min="4097" max="4097" width="4.6640625" style="56" bestFit="1" customWidth="1"/>
    <col min="4098" max="4098" width="52.6640625" style="56" customWidth="1"/>
    <col min="4099" max="4099" width="40.5546875" style="56" bestFit="1" customWidth="1"/>
    <col min="4100" max="4100" width="4.5546875" style="56" bestFit="1" customWidth="1"/>
    <col min="4101" max="4101" width="5.88671875" style="56" bestFit="1" customWidth="1"/>
    <col min="4102" max="4102" width="9" style="56" bestFit="1" customWidth="1"/>
    <col min="4103" max="4103" width="9" style="56" customWidth="1"/>
    <col min="4104" max="4104" width="56" style="56" customWidth="1"/>
    <col min="4105" max="4105" width="58" style="56" customWidth="1"/>
    <col min="4106" max="4106" width="43.6640625" style="56" customWidth="1"/>
    <col min="4107" max="4107" width="52" style="56" customWidth="1"/>
    <col min="4108" max="4352" width="9.109375" style="56"/>
    <col min="4353" max="4353" width="4.6640625" style="56" bestFit="1" customWidth="1"/>
    <col min="4354" max="4354" width="52.6640625" style="56" customWidth="1"/>
    <col min="4355" max="4355" width="40.5546875" style="56" bestFit="1" customWidth="1"/>
    <col min="4356" max="4356" width="4.5546875" style="56" bestFit="1" customWidth="1"/>
    <col min="4357" max="4357" width="5.88671875" style="56" bestFit="1" customWidth="1"/>
    <col min="4358" max="4358" width="9" style="56" bestFit="1" customWidth="1"/>
    <col min="4359" max="4359" width="9" style="56" customWidth="1"/>
    <col min="4360" max="4360" width="56" style="56" customWidth="1"/>
    <col min="4361" max="4361" width="58" style="56" customWidth="1"/>
    <col min="4362" max="4362" width="43.6640625" style="56" customWidth="1"/>
    <col min="4363" max="4363" width="52" style="56" customWidth="1"/>
    <col min="4364" max="4608" width="9.109375" style="56"/>
    <col min="4609" max="4609" width="4.6640625" style="56" bestFit="1" customWidth="1"/>
    <col min="4610" max="4610" width="52.6640625" style="56" customWidth="1"/>
    <col min="4611" max="4611" width="40.5546875" style="56" bestFit="1" customWidth="1"/>
    <col min="4612" max="4612" width="4.5546875" style="56" bestFit="1" customWidth="1"/>
    <col min="4613" max="4613" width="5.88671875" style="56" bestFit="1" customWidth="1"/>
    <col min="4614" max="4614" width="9" style="56" bestFit="1" customWidth="1"/>
    <col min="4615" max="4615" width="9" style="56" customWidth="1"/>
    <col min="4616" max="4616" width="56" style="56" customWidth="1"/>
    <col min="4617" max="4617" width="58" style="56" customWidth="1"/>
    <col min="4618" max="4618" width="43.6640625" style="56" customWidth="1"/>
    <col min="4619" max="4619" width="52" style="56" customWidth="1"/>
    <col min="4620" max="4864" width="9.109375" style="56"/>
    <col min="4865" max="4865" width="4.6640625" style="56" bestFit="1" customWidth="1"/>
    <col min="4866" max="4866" width="52.6640625" style="56" customWidth="1"/>
    <col min="4867" max="4867" width="40.5546875" style="56" bestFit="1" customWidth="1"/>
    <col min="4868" max="4868" width="4.5546875" style="56" bestFit="1" customWidth="1"/>
    <col min="4869" max="4869" width="5.88671875" style="56" bestFit="1" customWidth="1"/>
    <col min="4870" max="4870" width="9" style="56" bestFit="1" customWidth="1"/>
    <col min="4871" max="4871" width="9" style="56" customWidth="1"/>
    <col min="4872" max="4872" width="56" style="56" customWidth="1"/>
    <col min="4873" max="4873" width="58" style="56" customWidth="1"/>
    <col min="4874" max="4874" width="43.6640625" style="56" customWidth="1"/>
    <col min="4875" max="4875" width="52" style="56" customWidth="1"/>
    <col min="4876" max="5120" width="9.109375" style="56"/>
    <col min="5121" max="5121" width="4.6640625" style="56" bestFit="1" customWidth="1"/>
    <col min="5122" max="5122" width="52.6640625" style="56" customWidth="1"/>
    <col min="5123" max="5123" width="40.5546875" style="56" bestFit="1" customWidth="1"/>
    <col min="5124" max="5124" width="4.5546875" style="56" bestFit="1" customWidth="1"/>
    <col min="5125" max="5125" width="5.88671875" style="56" bestFit="1" customWidth="1"/>
    <col min="5126" max="5126" width="9" style="56" bestFit="1" customWidth="1"/>
    <col min="5127" max="5127" width="9" style="56" customWidth="1"/>
    <col min="5128" max="5128" width="56" style="56" customWidth="1"/>
    <col min="5129" max="5129" width="58" style="56" customWidth="1"/>
    <col min="5130" max="5130" width="43.6640625" style="56" customWidth="1"/>
    <col min="5131" max="5131" width="52" style="56" customWidth="1"/>
    <col min="5132" max="5376" width="9.109375" style="56"/>
    <col min="5377" max="5377" width="4.6640625" style="56" bestFit="1" customWidth="1"/>
    <col min="5378" max="5378" width="52.6640625" style="56" customWidth="1"/>
    <col min="5379" max="5379" width="40.5546875" style="56" bestFit="1" customWidth="1"/>
    <col min="5380" max="5380" width="4.5546875" style="56" bestFit="1" customWidth="1"/>
    <col min="5381" max="5381" width="5.88671875" style="56" bestFit="1" customWidth="1"/>
    <col min="5382" max="5382" width="9" style="56" bestFit="1" customWidth="1"/>
    <col min="5383" max="5383" width="9" style="56" customWidth="1"/>
    <col min="5384" max="5384" width="56" style="56" customWidth="1"/>
    <col min="5385" max="5385" width="58" style="56" customWidth="1"/>
    <col min="5386" max="5386" width="43.6640625" style="56" customWidth="1"/>
    <col min="5387" max="5387" width="52" style="56" customWidth="1"/>
    <col min="5388" max="5632" width="9.109375" style="56"/>
    <col min="5633" max="5633" width="4.6640625" style="56" bestFit="1" customWidth="1"/>
    <col min="5634" max="5634" width="52.6640625" style="56" customWidth="1"/>
    <col min="5635" max="5635" width="40.5546875" style="56" bestFit="1" customWidth="1"/>
    <col min="5636" max="5636" width="4.5546875" style="56" bestFit="1" customWidth="1"/>
    <col min="5637" max="5637" width="5.88671875" style="56" bestFit="1" customWidth="1"/>
    <col min="5638" max="5638" width="9" style="56" bestFit="1" customWidth="1"/>
    <col min="5639" max="5639" width="9" style="56" customWidth="1"/>
    <col min="5640" max="5640" width="56" style="56" customWidth="1"/>
    <col min="5641" max="5641" width="58" style="56" customWidth="1"/>
    <col min="5642" max="5642" width="43.6640625" style="56" customWidth="1"/>
    <col min="5643" max="5643" width="52" style="56" customWidth="1"/>
    <col min="5644" max="5888" width="9.109375" style="56"/>
    <col min="5889" max="5889" width="4.6640625" style="56" bestFit="1" customWidth="1"/>
    <col min="5890" max="5890" width="52.6640625" style="56" customWidth="1"/>
    <col min="5891" max="5891" width="40.5546875" style="56" bestFit="1" customWidth="1"/>
    <col min="5892" max="5892" width="4.5546875" style="56" bestFit="1" customWidth="1"/>
    <col min="5893" max="5893" width="5.88671875" style="56" bestFit="1" customWidth="1"/>
    <col min="5894" max="5894" width="9" style="56" bestFit="1" customWidth="1"/>
    <col min="5895" max="5895" width="9" style="56" customWidth="1"/>
    <col min="5896" max="5896" width="56" style="56" customWidth="1"/>
    <col min="5897" max="5897" width="58" style="56" customWidth="1"/>
    <col min="5898" max="5898" width="43.6640625" style="56" customWidth="1"/>
    <col min="5899" max="5899" width="52" style="56" customWidth="1"/>
    <col min="5900" max="6144" width="9.109375" style="56"/>
    <col min="6145" max="6145" width="4.6640625" style="56" bestFit="1" customWidth="1"/>
    <col min="6146" max="6146" width="52.6640625" style="56" customWidth="1"/>
    <col min="6147" max="6147" width="40.5546875" style="56" bestFit="1" customWidth="1"/>
    <col min="6148" max="6148" width="4.5546875" style="56" bestFit="1" customWidth="1"/>
    <col min="6149" max="6149" width="5.88671875" style="56" bestFit="1" customWidth="1"/>
    <col min="6150" max="6150" width="9" style="56" bestFit="1" customWidth="1"/>
    <col min="6151" max="6151" width="9" style="56" customWidth="1"/>
    <col min="6152" max="6152" width="56" style="56" customWidth="1"/>
    <col min="6153" max="6153" width="58" style="56" customWidth="1"/>
    <col min="6154" max="6154" width="43.6640625" style="56" customWidth="1"/>
    <col min="6155" max="6155" width="52" style="56" customWidth="1"/>
    <col min="6156" max="6400" width="9.109375" style="56"/>
    <col min="6401" max="6401" width="4.6640625" style="56" bestFit="1" customWidth="1"/>
    <col min="6402" max="6402" width="52.6640625" style="56" customWidth="1"/>
    <col min="6403" max="6403" width="40.5546875" style="56" bestFit="1" customWidth="1"/>
    <col min="6404" max="6404" width="4.5546875" style="56" bestFit="1" customWidth="1"/>
    <col min="6405" max="6405" width="5.88671875" style="56" bestFit="1" customWidth="1"/>
    <col min="6406" max="6406" width="9" style="56" bestFit="1" customWidth="1"/>
    <col min="6407" max="6407" width="9" style="56" customWidth="1"/>
    <col min="6408" max="6408" width="56" style="56" customWidth="1"/>
    <col min="6409" max="6409" width="58" style="56" customWidth="1"/>
    <col min="6410" max="6410" width="43.6640625" style="56" customWidth="1"/>
    <col min="6411" max="6411" width="52" style="56" customWidth="1"/>
    <col min="6412" max="6656" width="9.109375" style="56"/>
    <col min="6657" max="6657" width="4.6640625" style="56" bestFit="1" customWidth="1"/>
    <col min="6658" max="6658" width="52.6640625" style="56" customWidth="1"/>
    <col min="6659" max="6659" width="40.5546875" style="56" bestFit="1" customWidth="1"/>
    <col min="6660" max="6660" width="4.5546875" style="56" bestFit="1" customWidth="1"/>
    <col min="6661" max="6661" width="5.88671875" style="56" bestFit="1" customWidth="1"/>
    <col min="6662" max="6662" width="9" style="56" bestFit="1" customWidth="1"/>
    <col min="6663" max="6663" width="9" style="56" customWidth="1"/>
    <col min="6664" max="6664" width="56" style="56" customWidth="1"/>
    <col min="6665" max="6665" width="58" style="56" customWidth="1"/>
    <col min="6666" max="6666" width="43.6640625" style="56" customWidth="1"/>
    <col min="6667" max="6667" width="52" style="56" customWidth="1"/>
    <col min="6668" max="6912" width="9.109375" style="56"/>
    <col min="6913" max="6913" width="4.6640625" style="56" bestFit="1" customWidth="1"/>
    <col min="6914" max="6914" width="52.6640625" style="56" customWidth="1"/>
    <col min="6915" max="6915" width="40.5546875" style="56" bestFit="1" customWidth="1"/>
    <col min="6916" max="6916" width="4.5546875" style="56" bestFit="1" customWidth="1"/>
    <col min="6917" max="6917" width="5.88671875" style="56" bestFit="1" customWidth="1"/>
    <col min="6918" max="6918" width="9" style="56" bestFit="1" customWidth="1"/>
    <col min="6919" max="6919" width="9" style="56" customWidth="1"/>
    <col min="6920" max="6920" width="56" style="56" customWidth="1"/>
    <col min="6921" max="6921" width="58" style="56" customWidth="1"/>
    <col min="6922" max="6922" width="43.6640625" style="56" customWidth="1"/>
    <col min="6923" max="6923" width="52" style="56" customWidth="1"/>
    <col min="6924" max="7168" width="9.109375" style="56"/>
    <col min="7169" max="7169" width="4.6640625" style="56" bestFit="1" customWidth="1"/>
    <col min="7170" max="7170" width="52.6640625" style="56" customWidth="1"/>
    <col min="7171" max="7171" width="40.5546875" style="56" bestFit="1" customWidth="1"/>
    <col min="7172" max="7172" width="4.5546875" style="56" bestFit="1" customWidth="1"/>
    <col min="7173" max="7173" width="5.88671875" style="56" bestFit="1" customWidth="1"/>
    <col min="7174" max="7174" width="9" style="56" bestFit="1" customWidth="1"/>
    <col min="7175" max="7175" width="9" style="56" customWidth="1"/>
    <col min="7176" max="7176" width="56" style="56" customWidth="1"/>
    <col min="7177" max="7177" width="58" style="56" customWidth="1"/>
    <col min="7178" max="7178" width="43.6640625" style="56" customWidth="1"/>
    <col min="7179" max="7179" width="52" style="56" customWidth="1"/>
    <col min="7180" max="7424" width="9.109375" style="56"/>
    <col min="7425" max="7425" width="4.6640625" style="56" bestFit="1" customWidth="1"/>
    <col min="7426" max="7426" width="52.6640625" style="56" customWidth="1"/>
    <col min="7427" max="7427" width="40.5546875" style="56" bestFit="1" customWidth="1"/>
    <col min="7428" max="7428" width="4.5546875" style="56" bestFit="1" customWidth="1"/>
    <col min="7429" max="7429" width="5.88671875" style="56" bestFit="1" customWidth="1"/>
    <col min="7430" max="7430" width="9" style="56" bestFit="1" customWidth="1"/>
    <col min="7431" max="7431" width="9" style="56" customWidth="1"/>
    <col min="7432" max="7432" width="56" style="56" customWidth="1"/>
    <col min="7433" max="7433" width="58" style="56" customWidth="1"/>
    <col min="7434" max="7434" width="43.6640625" style="56" customWidth="1"/>
    <col min="7435" max="7435" width="52" style="56" customWidth="1"/>
    <col min="7436" max="7680" width="9.109375" style="56"/>
    <col min="7681" max="7681" width="4.6640625" style="56" bestFit="1" customWidth="1"/>
    <col min="7682" max="7682" width="52.6640625" style="56" customWidth="1"/>
    <col min="7683" max="7683" width="40.5546875" style="56" bestFit="1" customWidth="1"/>
    <col min="7684" max="7684" width="4.5546875" style="56" bestFit="1" customWidth="1"/>
    <col min="7685" max="7685" width="5.88671875" style="56" bestFit="1" customWidth="1"/>
    <col min="7686" max="7686" width="9" style="56" bestFit="1" customWidth="1"/>
    <col min="7687" max="7687" width="9" style="56" customWidth="1"/>
    <col min="7688" max="7688" width="56" style="56" customWidth="1"/>
    <col min="7689" max="7689" width="58" style="56" customWidth="1"/>
    <col min="7690" max="7690" width="43.6640625" style="56" customWidth="1"/>
    <col min="7691" max="7691" width="52" style="56" customWidth="1"/>
    <col min="7692" max="7936" width="9.109375" style="56"/>
    <col min="7937" max="7937" width="4.6640625" style="56" bestFit="1" customWidth="1"/>
    <col min="7938" max="7938" width="52.6640625" style="56" customWidth="1"/>
    <col min="7939" max="7939" width="40.5546875" style="56" bestFit="1" customWidth="1"/>
    <col min="7940" max="7940" width="4.5546875" style="56" bestFit="1" customWidth="1"/>
    <col min="7941" max="7941" width="5.88671875" style="56" bestFit="1" customWidth="1"/>
    <col min="7942" max="7942" width="9" style="56" bestFit="1" customWidth="1"/>
    <col min="7943" max="7943" width="9" style="56" customWidth="1"/>
    <col min="7944" max="7944" width="56" style="56" customWidth="1"/>
    <col min="7945" max="7945" width="58" style="56" customWidth="1"/>
    <col min="7946" max="7946" width="43.6640625" style="56" customWidth="1"/>
    <col min="7947" max="7947" width="52" style="56" customWidth="1"/>
    <col min="7948" max="8192" width="9.109375" style="56"/>
    <col min="8193" max="8193" width="4.6640625" style="56" bestFit="1" customWidth="1"/>
    <col min="8194" max="8194" width="52.6640625" style="56" customWidth="1"/>
    <col min="8195" max="8195" width="40.5546875" style="56" bestFit="1" customWidth="1"/>
    <col min="8196" max="8196" width="4.5546875" style="56" bestFit="1" customWidth="1"/>
    <col min="8197" max="8197" width="5.88671875" style="56" bestFit="1" customWidth="1"/>
    <col min="8198" max="8198" width="9" style="56" bestFit="1" customWidth="1"/>
    <col min="8199" max="8199" width="9" style="56" customWidth="1"/>
    <col min="8200" max="8200" width="56" style="56" customWidth="1"/>
    <col min="8201" max="8201" width="58" style="56" customWidth="1"/>
    <col min="8202" max="8202" width="43.6640625" style="56" customWidth="1"/>
    <col min="8203" max="8203" width="52" style="56" customWidth="1"/>
    <col min="8204" max="8448" width="9.109375" style="56"/>
    <col min="8449" max="8449" width="4.6640625" style="56" bestFit="1" customWidth="1"/>
    <col min="8450" max="8450" width="52.6640625" style="56" customWidth="1"/>
    <col min="8451" max="8451" width="40.5546875" style="56" bestFit="1" customWidth="1"/>
    <col min="8452" max="8452" width="4.5546875" style="56" bestFit="1" customWidth="1"/>
    <col min="8453" max="8453" width="5.88671875" style="56" bestFit="1" customWidth="1"/>
    <col min="8454" max="8454" width="9" style="56" bestFit="1" customWidth="1"/>
    <col min="8455" max="8455" width="9" style="56" customWidth="1"/>
    <col min="8456" max="8456" width="56" style="56" customWidth="1"/>
    <col min="8457" max="8457" width="58" style="56" customWidth="1"/>
    <col min="8458" max="8458" width="43.6640625" style="56" customWidth="1"/>
    <col min="8459" max="8459" width="52" style="56" customWidth="1"/>
    <col min="8460" max="8704" width="9.109375" style="56"/>
    <col min="8705" max="8705" width="4.6640625" style="56" bestFit="1" customWidth="1"/>
    <col min="8706" max="8706" width="52.6640625" style="56" customWidth="1"/>
    <col min="8707" max="8707" width="40.5546875" style="56" bestFit="1" customWidth="1"/>
    <col min="8708" max="8708" width="4.5546875" style="56" bestFit="1" customWidth="1"/>
    <col min="8709" max="8709" width="5.88671875" style="56" bestFit="1" customWidth="1"/>
    <col min="8710" max="8710" width="9" style="56" bestFit="1" customWidth="1"/>
    <col min="8711" max="8711" width="9" style="56" customWidth="1"/>
    <col min="8712" max="8712" width="56" style="56" customWidth="1"/>
    <col min="8713" max="8713" width="58" style="56" customWidth="1"/>
    <col min="8714" max="8714" width="43.6640625" style="56" customWidth="1"/>
    <col min="8715" max="8715" width="52" style="56" customWidth="1"/>
    <col min="8716" max="8960" width="9.109375" style="56"/>
    <col min="8961" max="8961" width="4.6640625" style="56" bestFit="1" customWidth="1"/>
    <col min="8962" max="8962" width="52.6640625" style="56" customWidth="1"/>
    <col min="8963" max="8963" width="40.5546875" style="56" bestFit="1" customWidth="1"/>
    <col min="8964" max="8964" width="4.5546875" style="56" bestFit="1" customWidth="1"/>
    <col min="8965" max="8965" width="5.88671875" style="56" bestFit="1" customWidth="1"/>
    <col min="8966" max="8966" width="9" style="56" bestFit="1" customWidth="1"/>
    <col min="8967" max="8967" width="9" style="56" customWidth="1"/>
    <col min="8968" max="8968" width="56" style="56" customWidth="1"/>
    <col min="8969" max="8969" width="58" style="56" customWidth="1"/>
    <col min="8970" max="8970" width="43.6640625" style="56" customWidth="1"/>
    <col min="8971" max="8971" width="52" style="56" customWidth="1"/>
    <col min="8972" max="9216" width="9.109375" style="56"/>
    <col min="9217" max="9217" width="4.6640625" style="56" bestFit="1" customWidth="1"/>
    <col min="9218" max="9218" width="52.6640625" style="56" customWidth="1"/>
    <col min="9219" max="9219" width="40.5546875" style="56" bestFit="1" customWidth="1"/>
    <col min="9220" max="9220" width="4.5546875" style="56" bestFit="1" customWidth="1"/>
    <col min="9221" max="9221" width="5.88671875" style="56" bestFit="1" customWidth="1"/>
    <col min="9222" max="9222" width="9" style="56" bestFit="1" customWidth="1"/>
    <col min="9223" max="9223" width="9" style="56" customWidth="1"/>
    <col min="9224" max="9224" width="56" style="56" customWidth="1"/>
    <col min="9225" max="9225" width="58" style="56" customWidth="1"/>
    <col min="9226" max="9226" width="43.6640625" style="56" customWidth="1"/>
    <col min="9227" max="9227" width="52" style="56" customWidth="1"/>
    <col min="9228" max="9472" width="9.109375" style="56"/>
    <col min="9473" max="9473" width="4.6640625" style="56" bestFit="1" customWidth="1"/>
    <col min="9474" max="9474" width="52.6640625" style="56" customWidth="1"/>
    <col min="9475" max="9475" width="40.5546875" style="56" bestFit="1" customWidth="1"/>
    <col min="9476" max="9476" width="4.5546875" style="56" bestFit="1" customWidth="1"/>
    <col min="9477" max="9477" width="5.88671875" style="56" bestFit="1" customWidth="1"/>
    <col min="9478" max="9478" width="9" style="56" bestFit="1" customWidth="1"/>
    <col min="9479" max="9479" width="9" style="56" customWidth="1"/>
    <col min="9480" max="9480" width="56" style="56" customWidth="1"/>
    <col min="9481" max="9481" width="58" style="56" customWidth="1"/>
    <col min="9482" max="9482" width="43.6640625" style="56" customWidth="1"/>
    <col min="9483" max="9483" width="52" style="56" customWidth="1"/>
    <col min="9484" max="9728" width="9.109375" style="56"/>
    <col min="9729" max="9729" width="4.6640625" style="56" bestFit="1" customWidth="1"/>
    <col min="9730" max="9730" width="52.6640625" style="56" customWidth="1"/>
    <col min="9731" max="9731" width="40.5546875" style="56" bestFit="1" customWidth="1"/>
    <col min="9732" max="9732" width="4.5546875" style="56" bestFit="1" customWidth="1"/>
    <col min="9733" max="9733" width="5.88671875" style="56" bestFit="1" customWidth="1"/>
    <col min="9734" max="9734" width="9" style="56" bestFit="1" customWidth="1"/>
    <col min="9735" max="9735" width="9" style="56" customWidth="1"/>
    <col min="9736" max="9736" width="56" style="56" customWidth="1"/>
    <col min="9737" max="9737" width="58" style="56" customWidth="1"/>
    <col min="9738" max="9738" width="43.6640625" style="56" customWidth="1"/>
    <col min="9739" max="9739" width="52" style="56" customWidth="1"/>
    <col min="9740" max="9984" width="9.109375" style="56"/>
    <col min="9985" max="9985" width="4.6640625" style="56" bestFit="1" customWidth="1"/>
    <col min="9986" max="9986" width="52.6640625" style="56" customWidth="1"/>
    <col min="9987" max="9987" width="40.5546875" style="56" bestFit="1" customWidth="1"/>
    <col min="9988" max="9988" width="4.5546875" style="56" bestFit="1" customWidth="1"/>
    <col min="9989" max="9989" width="5.88671875" style="56" bestFit="1" customWidth="1"/>
    <col min="9990" max="9990" width="9" style="56" bestFit="1" customWidth="1"/>
    <col min="9991" max="9991" width="9" style="56" customWidth="1"/>
    <col min="9992" max="9992" width="56" style="56" customWidth="1"/>
    <col min="9993" max="9993" width="58" style="56" customWidth="1"/>
    <col min="9994" max="9994" width="43.6640625" style="56" customWidth="1"/>
    <col min="9995" max="9995" width="52" style="56" customWidth="1"/>
    <col min="9996" max="10240" width="9.109375" style="56"/>
    <col min="10241" max="10241" width="4.6640625" style="56" bestFit="1" customWidth="1"/>
    <col min="10242" max="10242" width="52.6640625" style="56" customWidth="1"/>
    <col min="10243" max="10243" width="40.5546875" style="56" bestFit="1" customWidth="1"/>
    <col min="10244" max="10244" width="4.5546875" style="56" bestFit="1" customWidth="1"/>
    <col min="10245" max="10245" width="5.88671875" style="56" bestFit="1" customWidth="1"/>
    <col min="10246" max="10246" width="9" style="56" bestFit="1" customWidth="1"/>
    <col min="10247" max="10247" width="9" style="56" customWidth="1"/>
    <col min="10248" max="10248" width="56" style="56" customWidth="1"/>
    <col min="10249" max="10249" width="58" style="56" customWidth="1"/>
    <col min="10250" max="10250" width="43.6640625" style="56" customWidth="1"/>
    <col min="10251" max="10251" width="52" style="56" customWidth="1"/>
    <col min="10252" max="10496" width="9.109375" style="56"/>
    <col min="10497" max="10497" width="4.6640625" style="56" bestFit="1" customWidth="1"/>
    <col min="10498" max="10498" width="52.6640625" style="56" customWidth="1"/>
    <col min="10499" max="10499" width="40.5546875" style="56" bestFit="1" customWidth="1"/>
    <col min="10500" max="10500" width="4.5546875" style="56" bestFit="1" customWidth="1"/>
    <col min="10501" max="10501" width="5.88671875" style="56" bestFit="1" customWidth="1"/>
    <col min="10502" max="10502" width="9" style="56" bestFit="1" customWidth="1"/>
    <col min="10503" max="10503" width="9" style="56" customWidth="1"/>
    <col min="10504" max="10504" width="56" style="56" customWidth="1"/>
    <col min="10505" max="10505" width="58" style="56" customWidth="1"/>
    <col min="10506" max="10506" width="43.6640625" style="56" customWidth="1"/>
    <col min="10507" max="10507" width="52" style="56" customWidth="1"/>
    <col min="10508" max="10752" width="9.109375" style="56"/>
    <col min="10753" max="10753" width="4.6640625" style="56" bestFit="1" customWidth="1"/>
    <col min="10754" max="10754" width="52.6640625" style="56" customWidth="1"/>
    <col min="10755" max="10755" width="40.5546875" style="56" bestFit="1" customWidth="1"/>
    <col min="10756" max="10756" width="4.5546875" style="56" bestFit="1" customWidth="1"/>
    <col min="10757" max="10757" width="5.88671875" style="56" bestFit="1" customWidth="1"/>
    <col min="10758" max="10758" width="9" style="56" bestFit="1" customWidth="1"/>
    <col min="10759" max="10759" width="9" style="56" customWidth="1"/>
    <col min="10760" max="10760" width="56" style="56" customWidth="1"/>
    <col min="10761" max="10761" width="58" style="56" customWidth="1"/>
    <col min="10762" max="10762" width="43.6640625" style="56" customWidth="1"/>
    <col min="10763" max="10763" width="52" style="56" customWidth="1"/>
    <col min="10764" max="11008" width="9.109375" style="56"/>
    <col min="11009" max="11009" width="4.6640625" style="56" bestFit="1" customWidth="1"/>
    <col min="11010" max="11010" width="52.6640625" style="56" customWidth="1"/>
    <col min="11011" max="11011" width="40.5546875" style="56" bestFit="1" customWidth="1"/>
    <col min="11012" max="11012" width="4.5546875" style="56" bestFit="1" customWidth="1"/>
    <col min="11013" max="11013" width="5.88671875" style="56" bestFit="1" customWidth="1"/>
    <col min="11014" max="11014" width="9" style="56" bestFit="1" customWidth="1"/>
    <col min="11015" max="11015" width="9" style="56" customWidth="1"/>
    <col min="11016" max="11016" width="56" style="56" customWidth="1"/>
    <col min="11017" max="11017" width="58" style="56" customWidth="1"/>
    <col min="11018" max="11018" width="43.6640625" style="56" customWidth="1"/>
    <col min="11019" max="11019" width="52" style="56" customWidth="1"/>
    <col min="11020" max="11264" width="9.109375" style="56"/>
    <col min="11265" max="11265" width="4.6640625" style="56" bestFit="1" customWidth="1"/>
    <col min="11266" max="11266" width="52.6640625" style="56" customWidth="1"/>
    <col min="11267" max="11267" width="40.5546875" style="56" bestFit="1" customWidth="1"/>
    <col min="11268" max="11268" width="4.5546875" style="56" bestFit="1" customWidth="1"/>
    <col min="11269" max="11269" width="5.88671875" style="56" bestFit="1" customWidth="1"/>
    <col min="11270" max="11270" width="9" style="56" bestFit="1" customWidth="1"/>
    <col min="11271" max="11271" width="9" style="56" customWidth="1"/>
    <col min="11272" max="11272" width="56" style="56" customWidth="1"/>
    <col min="11273" max="11273" width="58" style="56" customWidth="1"/>
    <col min="11274" max="11274" width="43.6640625" style="56" customWidth="1"/>
    <col min="11275" max="11275" width="52" style="56" customWidth="1"/>
    <col min="11276" max="11520" width="9.109375" style="56"/>
    <col min="11521" max="11521" width="4.6640625" style="56" bestFit="1" customWidth="1"/>
    <col min="11522" max="11522" width="52.6640625" style="56" customWidth="1"/>
    <col min="11523" max="11523" width="40.5546875" style="56" bestFit="1" customWidth="1"/>
    <col min="11524" max="11524" width="4.5546875" style="56" bestFit="1" customWidth="1"/>
    <col min="11525" max="11525" width="5.88671875" style="56" bestFit="1" customWidth="1"/>
    <col min="11526" max="11526" width="9" style="56" bestFit="1" customWidth="1"/>
    <col min="11527" max="11527" width="9" style="56" customWidth="1"/>
    <col min="11528" max="11528" width="56" style="56" customWidth="1"/>
    <col min="11529" max="11529" width="58" style="56" customWidth="1"/>
    <col min="11530" max="11530" width="43.6640625" style="56" customWidth="1"/>
    <col min="11531" max="11531" width="52" style="56" customWidth="1"/>
    <col min="11532" max="11776" width="9.109375" style="56"/>
    <col min="11777" max="11777" width="4.6640625" style="56" bestFit="1" customWidth="1"/>
    <col min="11778" max="11778" width="52.6640625" style="56" customWidth="1"/>
    <col min="11779" max="11779" width="40.5546875" style="56" bestFit="1" customWidth="1"/>
    <col min="11780" max="11780" width="4.5546875" style="56" bestFit="1" customWidth="1"/>
    <col min="11781" max="11781" width="5.88671875" style="56" bestFit="1" customWidth="1"/>
    <col min="11782" max="11782" width="9" style="56" bestFit="1" customWidth="1"/>
    <col min="11783" max="11783" width="9" style="56" customWidth="1"/>
    <col min="11784" max="11784" width="56" style="56" customWidth="1"/>
    <col min="11785" max="11785" width="58" style="56" customWidth="1"/>
    <col min="11786" max="11786" width="43.6640625" style="56" customWidth="1"/>
    <col min="11787" max="11787" width="52" style="56" customWidth="1"/>
    <col min="11788" max="12032" width="9.109375" style="56"/>
    <col min="12033" max="12033" width="4.6640625" style="56" bestFit="1" customWidth="1"/>
    <col min="12034" max="12034" width="52.6640625" style="56" customWidth="1"/>
    <col min="12035" max="12035" width="40.5546875" style="56" bestFit="1" customWidth="1"/>
    <col min="12036" max="12036" width="4.5546875" style="56" bestFit="1" customWidth="1"/>
    <col min="12037" max="12037" width="5.88671875" style="56" bestFit="1" customWidth="1"/>
    <col min="12038" max="12038" width="9" style="56" bestFit="1" customWidth="1"/>
    <col min="12039" max="12039" width="9" style="56" customWidth="1"/>
    <col min="12040" max="12040" width="56" style="56" customWidth="1"/>
    <col min="12041" max="12041" width="58" style="56" customWidth="1"/>
    <col min="12042" max="12042" width="43.6640625" style="56" customWidth="1"/>
    <col min="12043" max="12043" width="52" style="56" customWidth="1"/>
    <col min="12044" max="12288" width="9.109375" style="56"/>
    <col min="12289" max="12289" width="4.6640625" style="56" bestFit="1" customWidth="1"/>
    <col min="12290" max="12290" width="52.6640625" style="56" customWidth="1"/>
    <col min="12291" max="12291" width="40.5546875" style="56" bestFit="1" customWidth="1"/>
    <col min="12292" max="12292" width="4.5546875" style="56" bestFit="1" customWidth="1"/>
    <col min="12293" max="12293" width="5.88671875" style="56" bestFit="1" customWidth="1"/>
    <col min="12294" max="12294" width="9" style="56" bestFit="1" customWidth="1"/>
    <col min="12295" max="12295" width="9" style="56" customWidth="1"/>
    <col min="12296" max="12296" width="56" style="56" customWidth="1"/>
    <col min="12297" max="12297" width="58" style="56" customWidth="1"/>
    <col min="12298" max="12298" width="43.6640625" style="56" customWidth="1"/>
    <col min="12299" max="12299" width="52" style="56" customWidth="1"/>
    <col min="12300" max="12544" width="9.109375" style="56"/>
    <col min="12545" max="12545" width="4.6640625" style="56" bestFit="1" customWidth="1"/>
    <col min="12546" max="12546" width="52.6640625" style="56" customWidth="1"/>
    <col min="12547" max="12547" width="40.5546875" style="56" bestFit="1" customWidth="1"/>
    <col min="12548" max="12548" width="4.5546875" style="56" bestFit="1" customWidth="1"/>
    <col min="12549" max="12549" width="5.88671875" style="56" bestFit="1" customWidth="1"/>
    <col min="12550" max="12550" width="9" style="56" bestFit="1" customWidth="1"/>
    <col min="12551" max="12551" width="9" style="56" customWidth="1"/>
    <col min="12552" max="12552" width="56" style="56" customWidth="1"/>
    <col min="12553" max="12553" width="58" style="56" customWidth="1"/>
    <col min="12554" max="12554" width="43.6640625" style="56" customWidth="1"/>
    <col min="12555" max="12555" width="52" style="56" customWidth="1"/>
    <col min="12556" max="12800" width="9.109375" style="56"/>
    <col min="12801" max="12801" width="4.6640625" style="56" bestFit="1" customWidth="1"/>
    <col min="12802" max="12802" width="52.6640625" style="56" customWidth="1"/>
    <col min="12803" max="12803" width="40.5546875" style="56" bestFit="1" customWidth="1"/>
    <col min="12804" max="12804" width="4.5546875" style="56" bestFit="1" customWidth="1"/>
    <col min="12805" max="12805" width="5.88671875" style="56" bestFit="1" customWidth="1"/>
    <col min="12806" max="12806" width="9" style="56" bestFit="1" customWidth="1"/>
    <col min="12807" max="12807" width="9" style="56" customWidth="1"/>
    <col min="12808" max="12808" width="56" style="56" customWidth="1"/>
    <col min="12809" max="12809" width="58" style="56" customWidth="1"/>
    <col min="12810" max="12810" width="43.6640625" style="56" customWidth="1"/>
    <col min="12811" max="12811" width="52" style="56" customWidth="1"/>
    <col min="12812" max="13056" width="9.109375" style="56"/>
    <col min="13057" max="13057" width="4.6640625" style="56" bestFit="1" customWidth="1"/>
    <col min="13058" max="13058" width="52.6640625" style="56" customWidth="1"/>
    <col min="13059" max="13059" width="40.5546875" style="56" bestFit="1" customWidth="1"/>
    <col min="13060" max="13060" width="4.5546875" style="56" bestFit="1" customWidth="1"/>
    <col min="13061" max="13061" width="5.88671875" style="56" bestFit="1" customWidth="1"/>
    <col min="13062" max="13062" width="9" style="56" bestFit="1" customWidth="1"/>
    <col min="13063" max="13063" width="9" style="56" customWidth="1"/>
    <col min="13064" max="13064" width="56" style="56" customWidth="1"/>
    <col min="13065" max="13065" width="58" style="56" customWidth="1"/>
    <col min="13066" max="13066" width="43.6640625" style="56" customWidth="1"/>
    <col min="13067" max="13067" width="52" style="56" customWidth="1"/>
    <col min="13068" max="13312" width="9.109375" style="56"/>
    <col min="13313" max="13313" width="4.6640625" style="56" bestFit="1" customWidth="1"/>
    <col min="13314" max="13314" width="52.6640625" style="56" customWidth="1"/>
    <col min="13315" max="13315" width="40.5546875" style="56" bestFit="1" customWidth="1"/>
    <col min="13316" max="13316" width="4.5546875" style="56" bestFit="1" customWidth="1"/>
    <col min="13317" max="13317" width="5.88671875" style="56" bestFit="1" customWidth="1"/>
    <col min="13318" max="13318" width="9" style="56" bestFit="1" customWidth="1"/>
    <col min="13319" max="13319" width="9" style="56" customWidth="1"/>
    <col min="13320" max="13320" width="56" style="56" customWidth="1"/>
    <col min="13321" max="13321" width="58" style="56" customWidth="1"/>
    <col min="13322" max="13322" width="43.6640625" style="56" customWidth="1"/>
    <col min="13323" max="13323" width="52" style="56" customWidth="1"/>
    <col min="13324" max="13568" width="9.109375" style="56"/>
    <col min="13569" max="13569" width="4.6640625" style="56" bestFit="1" customWidth="1"/>
    <col min="13570" max="13570" width="52.6640625" style="56" customWidth="1"/>
    <col min="13571" max="13571" width="40.5546875" style="56" bestFit="1" customWidth="1"/>
    <col min="13572" max="13572" width="4.5546875" style="56" bestFit="1" customWidth="1"/>
    <col min="13573" max="13573" width="5.88671875" style="56" bestFit="1" customWidth="1"/>
    <col min="13574" max="13574" width="9" style="56" bestFit="1" customWidth="1"/>
    <col min="13575" max="13575" width="9" style="56" customWidth="1"/>
    <col min="13576" max="13576" width="56" style="56" customWidth="1"/>
    <col min="13577" max="13577" width="58" style="56" customWidth="1"/>
    <col min="13578" max="13578" width="43.6640625" style="56" customWidth="1"/>
    <col min="13579" max="13579" width="52" style="56" customWidth="1"/>
    <col min="13580" max="13824" width="9.109375" style="56"/>
    <col min="13825" max="13825" width="4.6640625" style="56" bestFit="1" customWidth="1"/>
    <col min="13826" max="13826" width="52.6640625" style="56" customWidth="1"/>
    <col min="13827" max="13827" width="40.5546875" style="56" bestFit="1" customWidth="1"/>
    <col min="13828" max="13828" width="4.5546875" style="56" bestFit="1" customWidth="1"/>
    <col min="13829" max="13829" width="5.88671875" style="56" bestFit="1" customWidth="1"/>
    <col min="13830" max="13830" width="9" style="56" bestFit="1" customWidth="1"/>
    <col min="13831" max="13831" width="9" style="56" customWidth="1"/>
    <col min="13832" max="13832" width="56" style="56" customWidth="1"/>
    <col min="13833" max="13833" width="58" style="56" customWidth="1"/>
    <col min="13834" max="13834" width="43.6640625" style="56" customWidth="1"/>
    <col min="13835" max="13835" width="52" style="56" customWidth="1"/>
    <col min="13836" max="14080" width="9.109375" style="56"/>
    <col min="14081" max="14081" width="4.6640625" style="56" bestFit="1" customWidth="1"/>
    <col min="14082" max="14082" width="52.6640625" style="56" customWidth="1"/>
    <col min="14083" max="14083" width="40.5546875" style="56" bestFit="1" customWidth="1"/>
    <col min="14084" max="14084" width="4.5546875" style="56" bestFit="1" customWidth="1"/>
    <col min="14085" max="14085" width="5.88671875" style="56" bestFit="1" customWidth="1"/>
    <col min="14086" max="14086" width="9" style="56" bestFit="1" customWidth="1"/>
    <col min="14087" max="14087" width="9" style="56" customWidth="1"/>
    <col min="14088" max="14088" width="56" style="56" customWidth="1"/>
    <col min="14089" max="14089" width="58" style="56" customWidth="1"/>
    <col min="14090" max="14090" width="43.6640625" style="56" customWidth="1"/>
    <col min="14091" max="14091" width="52" style="56" customWidth="1"/>
    <col min="14092" max="14336" width="9.109375" style="56"/>
    <col min="14337" max="14337" width="4.6640625" style="56" bestFit="1" customWidth="1"/>
    <col min="14338" max="14338" width="52.6640625" style="56" customWidth="1"/>
    <col min="14339" max="14339" width="40.5546875" style="56" bestFit="1" customWidth="1"/>
    <col min="14340" max="14340" width="4.5546875" style="56" bestFit="1" customWidth="1"/>
    <col min="14341" max="14341" width="5.88671875" style="56" bestFit="1" customWidth="1"/>
    <col min="14342" max="14342" width="9" style="56" bestFit="1" customWidth="1"/>
    <col min="14343" max="14343" width="9" style="56" customWidth="1"/>
    <col min="14344" max="14344" width="56" style="56" customWidth="1"/>
    <col min="14345" max="14345" width="58" style="56" customWidth="1"/>
    <col min="14346" max="14346" width="43.6640625" style="56" customWidth="1"/>
    <col min="14347" max="14347" width="52" style="56" customWidth="1"/>
    <col min="14348" max="14592" width="9.109375" style="56"/>
    <col min="14593" max="14593" width="4.6640625" style="56" bestFit="1" customWidth="1"/>
    <col min="14594" max="14594" width="52.6640625" style="56" customWidth="1"/>
    <col min="14595" max="14595" width="40.5546875" style="56" bestFit="1" customWidth="1"/>
    <col min="14596" max="14596" width="4.5546875" style="56" bestFit="1" customWidth="1"/>
    <col min="14597" max="14597" width="5.88671875" style="56" bestFit="1" customWidth="1"/>
    <col min="14598" max="14598" width="9" style="56" bestFit="1" customWidth="1"/>
    <col min="14599" max="14599" width="9" style="56" customWidth="1"/>
    <col min="14600" max="14600" width="56" style="56" customWidth="1"/>
    <col min="14601" max="14601" width="58" style="56" customWidth="1"/>
    <col min="14602" max="14602" width="43.6640625" style="56" customWidth="1"/>
    <col min="14603" max="14603" width="52" style="56" customWidth="1"/>
    <col min="14604" max="14848" width="9.109375" style="56"/>
    <col min="14849" max="14849" width="4.6640625" style="56" bestFit="1" customWidth="1"/>
    <col min="14850" max="14850" width="52.6640625" style="56" customWidth="1"/>
    <col min="14851" max="14851" width="40.5546875" style="56" bestFit="1" customWidth="1"/>
    <col min="14852" max="14852" width="4.5546875" style="56" bestFit="1" customWidth="1"/>
    <col min="14853" max="14853" width="5.88671875" style="56" bestFit="1" customWidth="1"/>
    <col min="14854" max="14854" width="9" style="56" bestFit="1" customWidth="1"/>
    <col min="14855" max="14855" width="9" style="56" customWidth="1"/>
    <col min="14856" max="14856" width="56" style="56" customWidth="1"/>
    <col min="14857" max="14857" width="58" style="56" customWidth="1"/>
    <col min="14858" max="14858" width="43.6640625" style="56" customWidth="1"/>
    <col min="14859" max="14859" width="52" style="56" customWidth="1"/>
    <col min="14860" max="15104" width="9.109375" style="56"/>
    <col min="15105" max="15105" width="4.6640625" style="56" bestFit="1" customWidth="1"/>
    <col min="15106" max="15106" width="52.6640625" style="56" customWidth="1"/>
    <col min="15107" max="15107" width="40.5546875" style="56" bestFit="1" customWidth="1"/>
    <col min="15108" max="15108" width="4.5546875" style="56" bestFit="1" customWidth="1"/>
    <col min="15109" max="15109" width="5.88671875" style="56" bestFit="1" customWidth="1"/>
    <col min="15110" max="15110" width="9" style="56" bestFit="1" customWidth="1"/>
    <col min="15111" max="15111" width="9" style="56" customWidth="1"/>
    <col min="15112" max="15112" width="56" style="56" customWidth="1"/>
    <col min="15113" max="15113" width="58" style="56" customWidth="1"/>
    <col min="15114" max="15114" width="43.6640625" style="56" customWidth="1"/>
    <col min="15115" max="15115" width="52" style="56" customWidth="1"/>
    <col min="15116" max="15360" width="9.109375" style="56"/>
    <col min="15361" max="15361" width="4.6640625" style="56" bestFit="1" customWidth="1"/>
    <col min="15362" max="15362" width="52.6640625" style="56" customWidth="1"/>
    <col min="15363" max="15363" width="40.5546875" style="56" bestFit="1" customWidth="1"/>
    <col min="15364" max="15364" width="4.5546875" style="56" bestFit="1" customWidth="1"/>
    <col min="15365" max="15365" width="5.88671875" style="56" bestFit="1" customWidth="1"/>
    <col min="15366" max="15366" width="9" style="56" bestFit="1" customWidth="1"/>
    <col min="15367" max="15367" width="9" style="56" customWidth="1"/>
    <col min="15368" max="15368" width="56" style="56" customWidth="1"/>
    <col min="15369" max="15369" width="58" style="56" customWidth="1"/>
    <col min="15370" max="15370" width="43.6640625" style="56" customWidth="1"/>
    <col min="15371" max="15371" width="52" style="56" customWidth="1"/>
    <col min="15372" max="15616" width="9.109375" style="56"/>
    <col min="15617" max="15617" width="4.6640625" style="56" bestFit="1" customWidth="1"/>
    <col min="15618" max="15618" width="52.6640625" style="56" customWidth="1"/>
    <col min="15619" max="15619" width="40.5546875" style="56" bestFit="1" customWidth="1"/>
    <col min="15620" max="15620" width="4.5546875" style="56" bestFit="1" customWidth="1"/>
    <col min="15621" max="15621" width="5.88671875" style="56" bestFit="1" customWidth="1"/>
    <col min="15622" max="15622" width="9" style="56" bestFit="1" customWidth="1"/>
    <col min="15623" max="15623" width="9" style="56" customWidth="1"/>
    <col min="15624" max="15624" width="56" style="56" customWidth="1"/>
    <col min="15625" max="15625" width="58" style="56" customWidth="1"/>
    <col min="15626" max="15626" width="43.6640625" style="56" customWidth="1"/>
    <col min="15627" max="15627" width="52" style="56" customWidth="1"/>
    <col min="15628" max="15872" width="9.109375" style="56"/>
    <col min="15873" max="15873" width="4.6640625" style="56" bestFit="1" customWidth="1"/>
    <col min="15874" max="15874" width="52.6640625" style="56" customWidth="1"/>
    <col min="15875" max="15875" width="40.5546875" style="56" bestFit="1" customWidth="1"/>
    <col min="15876" max="15876" width="4.5546875" style="56" bestFit="1" customWidth="1"/>
    <col min="15877" max="15877" width="5.88671875" style="56" bestFit="1" customWidth="1"/>
    <col min="15878" max="15878" width="9" style="56" bestFit="1" customWidth="1"/>
    <col min="15879" max="15879" width="9" style="56" customWidth="1"/>
    <col min="15880" max="15880" width="56" style="56" customWidth="1"/>
    <col min="15881" max="15881" width="58" style="56" customWidth="1"/>
    <col min="15882" max="15882" width="43.6640625" style="56" customWidth="1"/>
    <col min="15883" max="15883" width="52" style="56" customWidth="1"/>
    <col min="15884" max="16128" width="9.109375" style="56"/>
    <col min="16129" max="16129" width="4.6640625" style="56" bestFit="1" customWidth="1"/>
    <col min="16130" max="16130" width="52.6640625" style="56" customWidth="1"/>
    <col min="16131" max="16131" width="40.5546875" style="56" bestFit="1" customWidth="1"/>
    <col min="16132" max="16132" width="4.5546875" style="56" bestFit="1" customWidth="1"/>
    <col min="16133" max="16133" width="5.88671875" style="56" bestFit="1" customWidth="1"/>
    <col min="16134" max="16134" width="9" style="56" bestFit="1" customWidth="1"/>
    <col min="16135" max="16135" width="9" style="56" customWidth="1"/>
    <col min="16136" max="16136" width="56" style="56" customWidth="1"/>
    <col min="16137" max="16137" width="58" style="56" customWidth="1"/>
    <col min="16138" max="16138" width="43.6640625" style="56" customWidth="1"/>
    <col min="16139" max="16139" width="52" style="56" customWidth="1"/>
    <col min="16140" max="16384" width="9.109375" style="56"/>
  </cols>
  <sheetData>
    <row r="1" spans="1:10" ht="28.5" customHeight="1" x14ac:dyDescent="0.5">
      <c r="A1" s="1" t="s">
        <v>361</v>
      </c>
      <c r="B1" s="2"/>
      <c r="C1" s="2"/>
      <c r="D1" s="2"/>
      <c r="E1" s="2"/>
      <c r="F1" s="3"/>
      <c r="G1" s="2"/>
      <c r="H1" s="4"/>
      <c r="I1" s="5"/>
    </row>
    <row r="2" spans="1:10" x14ac:dyDescent="0.3">
      <c r="A2" s="57"/>
      <c r="B2" s="58"/>
      <c r="C2" s="58"/>
      <c r="D2" s="58"/>
      <c r="E2" s="58"/>
      <c r="G2" s="58"/>
      <c r="H2" s="60"/>
      <c r="I2" s="58"/>
    </row>
    <row r="3" spans="1:10" x14ac:dyDescent="0.3">
      <c r="A3" s="57"/>
      <c r="B3" s="58"/>
      <c r="C3" s="58"/>
      <c r="D3" s="58"/>
      <c r="E3" s="58"/>
      <c r="G3" s="58"/>
      <c r="H3" s="60"/>
      <c r="I3" s="58"/>
    </row>
    <row r="4" spans="1:10" s="62" customFormat="1" ht="21" x14ac:dyDescent="0.3">
      <c r="A4" s="340" t="s">
        <v>362</v>
      </c>
      <c r="B4" s="341"/>
      <c r="C4" s="341"/>
      <c r="D4" s="342"/>
      <c r="E4" s="343"/>
      <c r="F4" s="69"/>
      <c r="G4" s="344"/>
      <c r="H4" s="345"/>
      <c r="I4" s="345"/>
      <c r="J4" s="345"/>
    </row>
    <row r="5" spans="1:10" x14ac:dyDescent="0.3">
      <c r="A5" s="57"/>
      <c r="B5" s="58"/>
      <c r="C5" s="58"/>
      <c r="D5" s="58"/>
      <c r="E5" s="58"/>
      <c r="G5" s="58"/>
      <c r="H5" s="60"/>
      <c r="I5" s="58"/>
    </row>
    <row r="6" spans="1:10" ht="24.6" x14ac:dyDescent="0.4">
      <c r="A6" s="432" t="s">
        <v>366</v>
      </c>
      <c r="B6" s="433"/>
      <c r="C6" s="434"/>
      <c r="D6" s="6"/>
      <c r="E6" s="7"/>
      <c r="F6" s="8"/>
      <c r="G6" s="9"/>
      <c r="H6" s="10"/>
      <c r="I6" s="9"/>
      <c r="J6" s="10"/>
    </row>
    <row r="7" spans="1:10" x14ac:dyDescent="0.3">
      <c r="A7" s="11"/>
      <c r="B7" s="12"/>
      <c r="C7" s="12"/>
      <c r="D7" s="13"/>
      <c r="E7" s="13"/>
      <c r="F7" s="14"/>
      <c r="G7" s="13"/>
      <c r="H7" s="15"/>
      <c r="I7" s="16" t="s">
        <v>0</v>
      </c>
      <c r="J7" s="17"/>
    </row>
    <row r="8" spans="1:10" ht="21" x14ac:dyDescent="0.4">
      <c r="A8" s="426" t="s">
        <v>138</v>
      </c>
      <c r="B8" s="427"/>
      <c r="C8" s="428"/>
      <c r="D8" s="13"/>
      <c r="E8" s="17"/>
      <c r="F8" s="18"/>
      <c r="G8" s="19"/>
      <c r="H8" s="20"/>
      <c r="I8" s="21">
        <f>SUM(F9:F14)</f>
        <v>494</v>
      </c>
      <c r="J8" s="22"/>
    </row>
    <row r="9" spans="1:10" x14ac:dyDescent="0.3">
      <c r="A9" s="13"/>
      <c r="B9" s="23" t="s">
        <v>1</v>
      </c>
      <c r="C9" s="23" t="s">
        <v>2</v>
      </c>
      <c r="D9" s="24" t="s">
        <v>3</v>
      </c>
      <c r="E9" s="25" t="s">
        <v>4</v>
      </c>
      <c r="F9" s="26" t="s">
        <v>5</v>
      </c>
      <c r="G9" s="24" t="s">
        <v>6</v>
      </c>
      <c r="H9" s="27" t="s">
        <v>7</v>
      </c>
      <c r="I9" s="23" t="s">
        <v>8</v>
      </c>
      <c r="J9" s="28" t="s">
        <v>9</v>
      </c>
    </row>
    <row r="10" spans="1:10" x14ac:dyDescent="0.3">
      <c r="A10" s="13"/>
      <c r="B10" s="29" t="s">
        <v>10</v>
      </c>
      <c r="C10" s="30"/>
      <c r="D10" s="30"/>
      <c r="E10" s="31"/>
      <c r="F10" s="32"/>
      <c r="G10" s="30"/>
      <c r="H10" s="31"/>
      <c r="I10" s="33"/>
      <c r="J10" s="34"/>
    </row>
    <row r="11" spans="1:10" s="62" customFormat="1" ht="60" x14ac:dyDescent="0.3">
      <c r="A11" s="13"/>
      <c r="B11" s="44" t="s">
        <v>79</v>
      </c>
      <c r="C11" s="46" t="s">
        <v>80</v>
      </c>
      <c r="D11" s="37" t="s">
        <v>29</v>
      </c>
      <c r="E11" s="37">
        <v>3</v>
      </c>
      <c r="F11" s="346">
        <f>(299+195)</f>
        <v>494</v>
      </c>
      <c r="G11" s="14"/>
      <c r="H11" s="46" t="s">
        <v>136</v>
      </c>
      <c r="I11" s="46" t="s">
        <v>135</v>
      </c>
      <c r="J11" s="41"/>
    </row>
    <row r="12" spans="1:10" x14ac:dyDescent="0.25">
      <c r="A12" s="42"/>
      <c r="B12" s="96"/>
      <c r="C12" s="45"/>
      <c r="D12" s="79"/>
      <c r="E12" s="79"/>
      <c r="F12" s="103"/>
      <c r="G12" s="37"/>
      <c r="H12" s="19"/>
      <c r="I12" s="106"/>
      <c r="J12" s="38"/>
    </row>
    <row r="13" spans="1:10" x14ac:dyDescent="0.25">
      <c r="A13" s="42"/>
      <c r="B13" s="53"/>
      <c r="C13" s="53"/>
      <c r="D13" s="53"/>
      <c r="E13" s="13"/>
      <c r="F13" s="14"/>
      <c r="G13" s="53"/>
      <c r="H13" s="94"/>
      <c r="I13" s="13"/>
      <c r="J13" s="38"/>
    </row>
    <row r="14" spans="1:10" x14ac:dyDescent="0.3">
      <c r="A14" s="11"/>
      <c r="B14" s="12"/>
      <c r="C14" s="12"/>
      <c r="D14" s="13"/>
      <c r="E14" s="13"/>
      <c r="F14" s="14"/>
      <c r="G14" s="13"/>
      <c r="H14" s="15"/>
      <c r="I14" s="16" t="s">
        <v>0</v>
      </c>
      <c r="J14" s="17"/>
    </row>
    <row r="15" spans="1:10" ht="21" x14ac:dyDescent="0.4">
      <c r="A15" s="426" t="s">
        <v>139</v>
      </c>
      <c r="B15" s="427"/>
      <c r="C15" s="428"/>
      <c r="D15" s="13"/>
      <c r="E15" s="17"/>
      <c r="F15" s="18"/>
      <c r="G15" s="19"/>
      <c r="H15" s="20"/>
      <c r="I15" s="21">
        <f>SUM(F18:F19)</f>
        <v>910</v>
      </c>
      <c r="J15" s="22"/>
    </row>
    <row r="16" spans="1:10" x14ac:dyDescent="0.3">
      <c r="A16" s="13"/>
      <c r="B16" s="23" t="s">
        <v>1</v>
      </c>
      <c r="C16" s="23" t="s">
        <v>2</v>
      </c>
      <c r="D16" s="24" t="s">
        <v>3</v>
      </c>
      <c r="E16" s="25" t="s">
        <v>4</v>
      </c>
      <c r="F16" s="26" t="s">
        <v>5</v>
      </c>
      <c r="G16" s="24" t="s">
        <v>6</v>
      </c>
      <c r="H16" s="27" t="s">
        <v>7</v>
      </c>
      <c r="I16" s="23" t="s">
        <v>8</v>
      </c>
      <c r="J16" s="28" t="s">
        <v>9</v>
      </c>
    </row>
    <row r="17" spans="1:10" x14ac:dyDescent="0.3">
      <c r="A17" s="13"/>
      <c r="B17" s="29" t="s">
        <v>10</v>
      </c>
      <c r="C17" s="30"/>
      <c r="D17" s="30"/>
      <c r="E17" s="31"/>
      <c r="F17" s="32"/>
      <c r="G17" s="30"/>
      <c r="H17" s="31"/>
      <c r="I17" s="33"/>
      <c r="J17" s="34"/>
    </row>
    <row r="18" spans="1:10" ht="90" x14ac:dyDescent="0.25">
      <c r="A18" s="42"/>
      <c r="B18" s="96" t="s">
        <v>367</v>
      </c>
      <c r="C18" s="45" t="s">
        <v>93</v>
      </c>
      <c r="D18" s="79" t="s">
        <v>29</v>
      </c>
      <c r="E18" s="79">
        <v>2</v>
      </c>
      <c r="F18" s="103">
        <f>654+256</f>
        <v>910</v>
      </c>
      <c r="G18" s="37"/>
      <c r="H18" s="19" t="s">
        <v>311</v>
      </c>
      <c r="I18" s="106" t="s">
        <v>306</v>
      </c>
      <c r="J18" s="38" t="s">
        <v>312</v>
      </c>
    </row>
    <row r="19" spans="1:10" x14ac:dyDescent="0.25">
      <c r="A19" s="42"/>
      <c r="B19" s="77"/>
      <c r="C19" s="45"/>
      <c r="D19" s="42"/>
      <c r="E19" s="42"/>
      <c r="F19" s="348"/>
      <c r="G19" s="26"/>
      <c r="H19" s="46"/>
      <c r="I19" s="106"/>
      <c r="J19" s="38"/>
    </row>
    <row r="20" spans="1:10" x14ac:dyDescent="0.3">
      <c r="A20" s="11"/>
      <c r="B20" s="12"/>
      <c r="C20" s="12"/>
      <c r="D20" s="13"/>
      <c r="E20" s="13"/>
      <c r="F20" s="14"/>
      <c r="G20" s="13"/>
      <c r="H20" s="47" t="s">
        <v>13</v>
      </c>
      <c r="I20" s="17"/>
      <c r="J20" s="17"/>
    </row>
    <row r="21" spans="1:10" s="61" customFormat="1" ht="21" x14ac:dyDescent="0.4">
      <c r="A21" s="431" t="s">
        <v>121</v>
      </c>
      <c r="B21" s="431"/>
      <c r="C21" s="431"/>
      <c r="D21" s="13"/>
      <c r="E21" s="17"/>
      <c r="F21" s="18"/>
      <c r="G21" s="19"/>
      <c r="H21" s="48">
        <f>SUM(F24:F26)</f>
        <v>439</v>
      </c>
      <c r="I21" s="14"/>
      <c r="J21" s="28"/>
    </row>
    <row r="22" spans="1:10" x14ac:dyDescent="0.3">
      <c r="A22" s="13"/>
      <c r="B22" s="23" t="s">
        <v>1</v>
      </c>
      <c r="C22" s="23" t="s">
        <v>2</v>
      </c>
      <c r="D22" s="24" t="s">
        <v>3</v>
      </c>
      <c r="E22" s="25" t="s">
        <v>4</v>
      </c>
      <c r="F22" s="26" t="s">
        <v>5</v>
      </c>
      <c r="G22" s="24" t="s">
        <v>6</v>
      </c>
      <c r="H22" s="27" t="s">
        <v>7</v>
      </c>
      <c r="I22" s="23" t="s">
        <v>8</v>
      </c>
      <c r="J22" s="28"/>
    </row>
    <row r="23" spans="1:10" x14ac:dyDescent="0.3">
      <c r="A23" s="13"/>
      <c r="B23" s="29" t="s">
        <v>10</v>
      </c>
      <c r="C23" s="30"/>
      <c r="D23" s="30"/>
      <c r="E23" s="31"/>
      <c r="F23" s="32"/>
      <c r="G23" s="49"/>
      <c r="H23" s="50"/>
      <c r="I23" s="33"/>
      <c r="J23" s="34"/>
    </row>
    <row r="24" spans="1:10" x14ac:dyDescent="0.25">
      <c r="A24" s="42"/>
      <c r="B24" s="44" t="s">
        <v>86</v>
      </c>
      <c r="C24" s="44" t="s">
        <v>44</v>
      </c>
      <c r="D24" s="42" t="s">
        <v>14</v>
      </c>
      <c r="E24" s="42">
        <v>2</v>
      </c>
      <c r="F24" s="348">
        <v>212</v>
      </c>
      <c r="G24" s="26"/>
      <c r="H24" s="39" t="s">
        <v>167</v>
      </c>
      <c r="I24" s="53" t="s">
        <v>370</v>
      </c>
      <c r="J24" s="38"/>
    </row>
    <row r="25" spans="1:10" x14ac:dyDescent="0.25">
      <c r="A25" s="42"/>
      <c r="B25" s="45" t="s">
        <v>301</v>
      </c>
      <c r="C25" s="39" t="s">
        <v>39</v>
      </c>
      <c r="D25" s="42" t="s">
        <v>14</v>
      </c>
      <c r="E25" s="42">
        <v>2</v>
      </c>
      <c r="F25" s="348">
        <v>227</v>
      </c>
      <c r="G25" s="26"/>
      <c r="H25" s="39" t="s">
        <v>302</v>
      </c>
      <c r="I25" s="53" t="s">
        <v>369</v>
      </c>
      <c r="J25" s="38"/>
    </row>
    <row r="26" spans="1:10" x14ac:dyDescent="0.25">
      <c r="A26" s="42"/>
      <c r="B26" s="44"/>
      <c r="C26" s="44"/>
      <c r="D26" s="42"/>
      <c r="E26" s="42"/>
      <c r="F26" s="348"/>
      <c r="G26" s="26"/>
      <c r="H26" s="39"/>
      <c r="I26" s="53"/>
      <c r="J26" s="38"/>
    </row>
    <row r="27" spans="1:10" s="61" customFormat="1" ht="21" x14ac:dyDescent="0.4">
      <c r="A27" s="431" t="s">
        <v>354</v>
      </c>
      <c r="B27" s="431"/>
      <c r="C27" s="431"/>
      <c r="D27" s="13"/>
      <c r="E27" s="17"/>
      <c r="F27" s="18"/>
      <c r="G27" s="19"/>
      <c r="H27" s="48">
        <f>SUM(F30:F33)</f>
        <v>338</v>
      </c>
      <c r="I27" s="14"/>
      <c r="J27" s="28"/>
    </row>
    <row r="28" spans="1:10" x14ac:dyDescent="0.3">
      <c r="A28" s="13"/>
      <c r="B28" s="23" t="s">
        <v>1</v>
      </c>
      <c r="C28" s="23" t="s">
        <v>2</v>
      </c>
      <c r="D28" s="24" t="s">
        <v>3</v>
      </c>
      <c r="E28" s="25" t="s">
        <v>4</v>
      </c>
      <c r="F28" s="26" t="s">
        <v>5</v>
      </c>
      <c r="G28" s="24" t="s">
        <v>6</v>
      </c>
      <c r="H28" s="27" t="s">
        <v>7</v>
      </c>
      <c r="I28" s="23" t="s">
        <v>8</v>
      </c>
      <c r="J28" s="28"/>
    </row>
    <row r="29" spans="1:10" x14ac:dyDescent="0.3">
      <c r="A29" s="13"/>
      <c r="B29" s="29" t="s">
        <v>10</v>
      </c>
      <c r="C29" s="30"/>
      <c r="D29" s="30"/>
      <c r="E29" s="31"/>
      <c r="F29" s="32"/>
      <c r="G29" s="49"/>
      <c r="H29" s="50"/>
      <c r="I29" s="33"/>
      <c r="J29" s="34"/>
    </row>
    <row r="30" spans="1:10" x14ac:dyDescent="0.25">
      <c r="A30" s="42"/>
      <c r="B30" s="44" t="s">
        <v>87</v>
      </c>
      <c r="C30" s="39" t="s">
        <v>11</v>
      </c>
      <c r="D30" s="42" t="s">
        <v>14</v>
      </c>
      <c r="E30" s="42">
        <v>2</v>
      </c>
      <c r="F30" s="346">
        <v>122</v>
      </c>
      <c r="G30" s="26"/>
      <c r="H30" s="39" t="s">
        <v>160</v>
      </c>
      <c r="I30" s="347" t="s">
        <v>368</v>
      </c>
      <c r="J30" s="38"/>
    </row>
    <row r="31" spans="1:10" x14ac:dyDescent="0.25">
      <c r="A31" s="42"/>
      <c r="B31" s="44" t="s">
        <v>88</v>
      </c>
      <c r="C31" s="44" t="s">
        <v>46</v>
      </c>
      <c r="D31" s="42" t="s">
        <v>14</v>
      </c>
      <c r="E31" s="42">
        <v>2</v>
      </c>
      <c r="F31" s="346">
        <v>82</v>
      </c>
      <c r="G31" s="26"/>
      <c r="H31" s="39" t="s">
        <v>168</v>
      </c>
      <c r="I31" s="53" t="s">
        <v>372</v>
      </c>
      <c r="J31" s="38"/>
    </row>
    <row r="32" spans="1:10" x14ac:dyDescent="0.25">
      <c r="A32" s="42"/>
      <c r="B32" s="44" t="s">
        <v>89</v>
      </c>
      <c r="C32" s="44" t="s">
        <v>11</v>
      </c>
      <c r="D32" s="42" t="s">
        <v>14</v>
      </c>
      <c r="E32" s="42">
        <v>2</v>
      </c>
      <c r="F32" s="346">
        <v>134</v>
      </c>
      <c r="G32" s="26"/>
      <c r="H32" s="39" t="s">
        <v>169</v>
      </c>
      <c r="I32" s="53" t="s">
        <v>371</v>
      </c>
      <c r="J32" s="38"/>
    </row>
    <row r="33" spans="1:10" x14ac:dyDescent="0.25">
      <c r="A33" s="42"/>
      <c r="B33" s="44"/>
      <c r="C33" s="44"/>
      <c r="D33" s="42"/>
      <c r="E33" s="42"/>
      <c r="F33" s="348"/>
      <c r="G33" s="26"/>
      <c r="H33" s="39"/>
      <c r="I33" s="53"/>
      <c r="J33" s="38"/>
    </row>
    <row r="34" spans="1:10" s="61" customFormat="1" ht="21" x14ac:dyDescent="0.4">
      <c r="A34" s="431" t="s">
        <v>360</v>
      </c>
      <c r="B34" s="431"/>
      <c r="C34" s="431"/>
      <c r="D34" s="13"/>
      <c r="E34" s="17"/>
      <c r="F34" s="18"/>
      <c r="G34" s="19"/>
      <c r="H34" s="48">
        <f>SUM(F37:F39)</f>
        <v>258</v>
      </c>
      <c r="I34" s="14"/>
      <c r="J34" s="28"/>
    </row>
    <row r="35" spans="1:10" x14ac:dyDescent="0.3">
      <c r="A35" s="13"/>
      <c r="B35" s="23" t="s">
        <v>1</v>
      </c>
      <c r="C35" s="23" t="s">
        <v>2</v>
      </c>
      <c r="D35" s="24" t="s">
        <v>3</v>
      </c>
      <c r="E35" s="25" t="s">
        <v>4</v>
      </c>
      <c r="F35" s="26" t="s">
        <v>5</v>
      </c>
      <c r="G35" s="24" t="s">
        <v>6</v>
      </c>
      <c r="H35" s="27" t="s">
        <v>7</v>
      </c>
      <c r="I35" s="23" t="s">
        <v>8</v>
      </c>
      <c r="J35" s="28"/>
    </row>
    <row r="36" spans="1:10" x14ac:dyDescent="0.3">
      <c r="A36" s="13"/>
      <c r="B36" s="29" t="s">
        <v>10</v>
      </c>
      <c r="C36" s="30"/>
      <c r="D36" s="30"/>
      <c r="E36" s="31"/>
      <c r="F36" s="32"/>
      <c r="G36" s="49"/>
      <c r="H36" s="50"/>
      <c r="I36" s="33"/>
      <c r="J36" s="34"/>
    </row>
    <row r="37" spans="1:10" x14ac:dyDescent="0.25">
      <c r="A37" s="42"/>
      <c r="B37" s="45" t="s">
        <v>47</v>
      </c>
      <c r="C37" s="45" t="s">
        <v>48</v>
      </c>
      <c r="D37" s="79" t="s">
        <v>14</v>
      </c>
      <c r="E37" s="79">
        <v>2</v>
      </c>
      <c r="F37" s="348">
        <f>127+131</f>
        <v>258</v>
      </c>
      <c r="G37" s="26"/>
      <c r="H37" s="39" t="s">
        <v>149</v>
      </c>
      <c r="I37" s="53" t="s">
        <v>369</v>
      </c>
      <c r="J37" s="38"/>
    </row>
    <row r="38" spans="1:10" x14ac:dyDescent="0.25">
      <c r="A38" s="42"/>
      <c r="B38" s="44"/>
      <c r="C38" s="44"/>
      <c r="D38" s="42"/>
      <c r="E38" s="42"/>
      <c r="F38" s="348"/>
      <c r="G38" s="26"/>
      <c r="H38" s="39"/>
      <c r="I38" s="53"/>
      <c r="J38" s="38"/>
    </row>
    <row r="39" spans="1:10" x14ac:dyDescent="0.25">
      <c r="A39" s="42"/>
      <c r="B39" s="44"/>
      <c r="C39" s="44"/>
      <c r="D39" s="42"/>
      <c r="E39" s="42"/>
      <c r="F39" s="348"/>
      <c r="G39" s="26"/>
      <c r="H39" s="39"/>
      <c r="I39" s="53"/>
      <c r="J39" s="38"/>
    </row>
    <row r="40" spans="1:10" ht="24.6" x14ac:dyDescent="0.4">
      <c r="A40" s="432" t="s">
        <v>380</v>
      </c>
      <c r="B40" s="433"/>
      <c r="C40" s="434"/>
      <c r="D40" s="6"/>
      <c r="E40" s="7"/>
      <c r="F40" s="8"/>
      <c r="G40" s="9"/>
      <c r="H40" s="10"/>
      <c r="I40" s="9"/>
      <c r="J40" s="10"/>
    </row>
    <row r="41" spans="1:10" x14ac:dyDescent="0.3">
      <c r="A41" s="11"/>
      <c r="B41" s="12"/>
      <c r="C41" s="12"/>
      <c r="D41" s="13"/>
      <c r="E41" s="13"/>
      <c r="F41" s="14"/>
      <c r="G41" s="13"/>
      <c r="H41" s="15"/>
      <c r="I41" s="16" t="s">
        <v>0</v>
      </c>
      <c r="J41" s="17"/>
    </row>
    <row r="42" spans="1:10" ht="21" x14ac:dyDescent="0.4">
      <c r="A42" s="426" t="s">
        <v>138</v>
      </c>
      <c r="B42" s="427"/>
      <c r="C42" s="428"/>
      <c r="D42" s="13"/>
      <c r="E42" s="17"/>
      <c r="F42" s="18"/>
      <c r="G42" s="19"/>
      <c r="H42" s="20"/>
      <c r="I42" s="21">
        <f>SUM(F43:F48)</f>
        <v>63</v>
      </c>
      <c r="J42" s="22"/>
    </row>
    <row r="43" spans="1:10" x14ac:dyDescent="0.3">
      <c r="A43" s="13"/>
      <c r="B43" s="23" t="s">
        <v>1</v>
      </c>
      <c r="C43" s="23" t="s">
        <v>2</v>
      </c>
      <c r="D43" s="24" t="s">
        <v>3</v>
      </c>
      <c r="E43" s="25" t="s">
        <v>4</v>
      </c>
      <c r="F43" s="26" t="s">
        <v>5</v>
      </c>
      <c r="G43" s="24" t="s">
        <v>6</v>
      </c>
      <c r="H43" s="27" t="s">
        <v>7</v>
      </c>
      <c r="I43" s="23" t="s">
        <v>8</v>
      </c>
      <c r="J43" s="28" t="s">
        <v>9</v>
      </c>
    </row>
    <row r="44" spans="1:10" x14ac:dyDescent="0.3">
      <c r="A44" s="13"/>
      <c r="B44" s="29" t="s">
        <v>10</v>
      </c>
      <c r="C44" s="30"/>
      <c r="D44" s="30"/>
      <c r="E44" s="31"/>
      <c r="F44" s="32"/>
      <c r="G44" s="30"/>
      <c r="H44" s="31"/>
      <c r="I44" s="33"/>
      <c r="J44" s="34"/>
    </row>
    <row r="45" spans="1:10" s="62" customFormat="1" x14ac:dyDescent="0.3">
      <c r="A45" s="13"/>
      <c r="B45" s="44" t="s">
        <v>74</v>
      </c>
      <c r="C45" s="44" t="s">
        <v>28</v>
      </c>
      <c r="D45" s="42" t="s">
        <v>29</v>
      </c>
      <c r="E45" s="42">
        <v>3</v>
      </c>
      <c r="F45" s="346">
        <v>63</v>
      </c>
      <c r="G45" s="14"/>
      <c r="H45" s="40" t="s">
        <v>134</v>
      </c>
      <c r="I45" s="40" t="s">
        <v>316</v>
      </c>
      <c r="J45" s="41"/>
    </row>
    <row r="46" spans="1:10" x14ac:dyDescent="0.25">
      <c r="A46" s="42"/>
      <c r="B46" s="96"/>
      <c r="C46" s="45"/>
      <c r="D46" s="79"/>
      <c r="E46" s="79"/>
      <c r="F46" s="103"/>
      <c r="G46" s="37"/>
      <c r="H46" s="19"/>
      <c r="I46" s="106"/>
      <c r="J46" s="38"/>
    </row>
    <row r="47" spans="1:10" x14ac:dyDescent="0.25">
      <c r="A47" s="42"/>
      <c r="B47" s="53"/>
      <c r="C47" s="53"/>
      <c r="D47" s="53"/>
      <c r="E47" s="13"/>
      <c r="F47" s="14"/>
      <c r="G47" s="53"/>
      <c r="H47" s="94"/>
      <c r="I47" s="13"/>
      <c r="J47" s="38"/>
    </row>
    <row r="48" spans="1:10" x14ac:dyDescent="0.3">
      <c r="A48" s="11"/>
      <c r="B48" s="12"/>
      <c r="C48" s="12"/>
      <c r="D48" s="13"/>
      <c r="E48" s="13"/>
      <c r="F48" s="14"/>
      <c r="G48" s="13"/>
      <c r="H48" s="15"/>
      <c r="I48" s="16" t="s">
        <v>0</v>
      </c>
      <c r="J48" s="17"/>
    </row>
    <row r="49" spans="1:10" ht="21" x14ac:dyDescent="0.4">
      <c r="A49" s="426" t="s">
        <v>139</v>
      </c>
      <c r="B49" s="427"/>
      <c r="C49" s="428"/>
      <c r="D49" s="13"/>
      <c r="E49" s="17"/>
      <c r="F49" s="18"/>
      <c r="G49" s="19"/>
      <c r="H49" s="20"/>
      <c r="I49" s="21">
        <f>SUM(F52:F53)</f>
        <v>0</v>
      </c>
      <c r="J49" s="22"/>
    </row>
    <row r="50" spans="1:10" x14ac:dyDescent="0.3">
      <c r="A50" s="13"/>
      <c r="B50" s="23" t="s">
        <v>1</v>
      </c>
      <c r="C50" s="23" t="s">
        <v>2</v>
      </c>
      <c r="D50" s="24" t="s">
        <v>3</v>
      </c>
      <c r="E50" s="25" t="s">
        <v>4</v>
      </c>
      <c r="F50" s="26" t="s">
        <v>5</v>
      </c>
      <c r="G50" s="24" t="s">
        <v>6</v>
      </c>
      <c r="H50" s="27" t="s">
        <v>7</v>
      </c>
      <c r="I50" s="23" t="s">
        <v>8</v>
      </c>
      <c r="J50" s="28" t="s">
        <v>9</v>
      </c>
    </row>
    <row r="51" spans="1:10" x14ac:dyDescent="0.3">
      <c r="A51" s="13"/>
      <c r="B51" s="29" t="s">
        <v>10</v>
      </c>
      <c r="C51" s="30"/>
      <c r="D51" s="30"/>
      <c r="E51" s="31"/>
      <c r="F51" s="32"/>
      <c r="G51" s="30"/>
      <c r="H51" s="31"/>
      <c r="I51" s="33"/>
      <c r="J51" s="34"/>
    </row>
    <row r="52" spans="1:10" x14ac:dyDescent="0.25">
      <c r="A52" s="42"/>
      <c r="B52" s="106" t="s">
        <v>140</v>
      </c>
      <c r="C52" s="45"/>
      <c r="D52" s="79"/>
      <c r="E52" s="79"/>
      <c r="F52" s="38"/>
      <c r="G52" s="14"/>
      <c r="H52" s="107"/>
      <c r="I52" s="43"/>
      <c r="J52" s="38"/>
    </row>
    <row r="53" spans="1:10" x14ac:dyDescent="0.25">
      <c r="A53" s="42"/>
      <c r="B53" s="77"/>
      <c r="C53" s="45"/>
      <c r="D53" s="42"/>
      <c r="E53" s="42"/>
      <c r="F53" s="348"/>
      <c r="G53" s="26"/>
      <c r="H53" s="46"/>
      <c r="I53" s="106"/>
      <c r="J53" s="38"/>
    </row>
    <row r="54" spans="1:10" x14ac:dyDescent="0.3">
      <c r="A54" s="11"/>
      <c r="B54" s="12"/>
      <c r="C54" s="12"/>
      <c r="D54" s="13"/>
      <c r="E54" s="13"/>
      <c r="F54" s="14"/>
      <c r="G54" s="13"/>
      <c r="H54" s="47" t="s">
        <v>13</v>
      </c>
      <c r="I54" s="17"/>
      <c r="J54" s="17"/>
    </row>
    <row r="55" spans="1:10" s="61" customFormat="1" ht="21" x14ac:dyDescent="0.4">
      <c r="A55" s="431" t="s">
        <v>121</v>
      </c>
      <c r="B55" s="431"/>
      <c r="C55" s="431"/>
      <c r="D55" s="13"/>
      <c r="E55" s="17"/>
      <c r="F55" s="18"/>
      <c r="G55" s="19"/>
      <c r="H55" s="48">
        <f>SUM(F58:F60)</f>
        <v>576</v>
      </c>
      <c r="I55" s="14"/>
      <c r="J55" s="28"/>
    </row>
    <row r="56" spans="1:10" x14ac:dyDescent="0.3">
      <c r="A56" s="13"/>
      <c r="B56" s="23" t="s">
        <v>1</v>
      </c>
      <c r="C56" s="23" t="s">
        <v>2</v>
      </c>
      <c r="D56" s="24" t="s">
        <v>3</v>
      </c>
      <c r="E56" s="25" t="s">
        <v>4</v>
      </c>
      <c r="F56" s="26" t="s">
        <v>5</v>
      </c>
      <c r="G56" s="24" t="s">
        <v>6</v>
      </c>
      <c r="H56" s="27" t="s">
        <v>7</v>
      </c>
      <c r="I56" s="23" t="s">
        <v>8</v>
      </c>
      <c r="J56" s="28"/>
    </row>
    <row r="57" spans="1:10" x14ac:dyDescent="0.3">
      <c r="A57" s="13"/>
      <c r="B57" s="29" t="s">
        <v>10</v>
      </c>
      <c r="C57" s="30"/>
      <c r="D57" s="30"/>
      <c r="E57" s="31"/>
      <c r="F57" s="32"/>
      <c r="G57" s="49"/>
      <c r="H57" s="50"/>
      <c r="I57" s="33"/>
      <c r="J57" s="34"/>
    </row>
    <row r="58" spans="1:10" x14ac:dyDescent="0.25">
      <c r="A58" s="42"/>
      <c r="B58" s="44" t="s">
        <v>76</v>
      </c>
      <c r="C58" s="44" t="s">
        <v>44</v>
      </c>
      <c r="D58" s="42" t="s">
        <v>14</v>
      </c>
      <c r="E58" s="42">
        <v>2</v>
      </c>
      <c r="F58" s="348">
        <v>244</v>
      </c>
      <c r="G58" s="26"/>
      <c r="H58" s="39" t="s">
        <v>164</v>
      </c>
      <c r="I58" s="53" t="s">
        <v>373</v>
      </c>
      <c r="J58" s="38"/>
    </row>
    <row r="59" spans="1:10" s="62" customFormat="1" ht="22.2" customHeight="1" x14ac:dyDescent="0.3">
      <c r="A59" s="42"/>
      <c r="B59" s="44" t="s">
        <v>73</v>
      </c>
      <c r="C59" s="44" t="s">
        <v>26</v>
      </c>
      <c r="D59" s="42" t="s">
        <v>14</v>
      </c>
      <c r="E59" s="42">
        <v>2</v>
      </c>
      <c r="F59" s="348">
        <v>332</v>
      </c>
      <c r="G59" s="26"/>
      <c r="H59" s="39" t="s">
        <v>163</v>
      </c>
      <c r="I59" s="96" t="s">
        <v>374</v>
      </c>
      <c r="J59" s="38"/>
    </row>
    <row r="60" spans="1:10" x14ac:dyDescent="0.25">
      <c r="A60" s="42"/>
      <c r="B60" s="44"/>
      <c r="C60" s="44"/>
      <c r="D60" s="42"/>
      <c r="E60" s="42"/>
      <c r="F60" s="348"/>
      <c r="G60" s="26"/>
      <c r="H60" s="39"/>
      <c r="I60" s="53"/>
      <c r="J60" s="38"/>
    </row>
    <row r="61" spans="1:10" s="61" customFormat="1" ht="21" x14ac:dyDescent="0.4">
      <c r="A61" s="431" t="s">
        <v>354</v>
      </c>
      <c r="B61" s="431"/>
      <c r="C61" s="431"/>
      <c r="D61" s="13"/>
      <c r="E61" s="17"/>
      <c r="F61" s="18"/>
      <c r="G61" s="19"/>
      <c r="H61" s="48">
        <f>SUM(F64:F68)</f>
        <v>245</v>
      </c>
      <c r="I61" s="14"/>
      <c r="J61" s="28"/>
    </row>
    <row r="62" spans="1:10" x14ac:dyDescent="0.3">
      <c r="A62" s="13"/>
      <c r="B62" s="23" t="s">
        <v>1</v>
      </c>
      <c r="C62" s="23" t="s">
        <v>2</v>
      </c>
      <c r="D62" s="24" t="s">
        <v>3</v>
      </c>
      <c r="E62" s="25" t="s">
        <v>4</v>
      </c>
      <c r="F62" s="26" t="s">
        <v>5</v>
      </c>
      <c r="G62" s="24" t="s">
        <v>6</v>
      </c>
      <c r="H62" s="27" t="s">
        <v>7</v>
      </c>
      <c r="I62" s="23" t="s">
        <v>8</v>
      </c>
      <c r="J62" s="28"/>
    </row>
    <row r="63" spans="1:10" x14ac:dyDescent="0.3">
      <c r="A63" s="13"/>
      <c r="B63" s="29" t="s">
        <v>10</v>
      </c>
      <c r="C63" s="30"/>
      <c r="D63" s="30"/>
      <c r="E63" s="31"/>
      <c r="F63" s="32"/>
      <c r="G63" s="49"/>
      <c r="H63" s="50"/>
      <c r="I63" s="33"/>
      <c r="J63" s="34"/>
    </row>
    <row r="64" spans="1:10" x14ac:dyDescent="0.25">
      <c r="A64" s="42"/>
      <c r="B64" s="44" t="s">
        <v>78</v>
      </c>
      <c r="C64" s="44" t="s">
        <v>46</v>
      </c>
      <c r="D64" s="42" t="s">
        <v>14</v>
      </c>
      <c r="E64" s="42">
        <v>2</v>
      </c>
      <c r="F64" s="346">
        <v>84</v>
      </c>
      <c r="G64" s="26"/>
      <c r="H64" s="39" t="s">
        <v>132</v>
      </c>
      <c r="I64" s="53" t="s">
        <v>368</v>
      </c>
      <c r="J64" s="38"/>
    </row>
    <row r="65" spans="1:10" x14ac:dyDescent="0.25">
      <c r="A65" s="42"/>
      <c r="B65" s="39" t="s">
        <v>34</v>
      </c>
      <c r="C65" s="39" t="s">
        <v>35</v>
      </c>
      <c r="D65" s="37" t="s">
        <v>14</v>
      </c>
      <c r="E65" s="37">
        <v>2</v>
      </c>
      <c r="F65" s="348">
        <v>161</v>
      </c>
      <c r="G65" s="26"/>
      <c r="H65" s="39" t="s">
        <v>145</v>
      </c>
      <c r="I65" s="53" t="s">
        <v>373</v>
      </c>
      <c r="J65" s="38"/>
    </row>
    <row r="66" spans="1:10" x14ac:dyDescent="0.25">
      <c r="A66" s="42"/>
      <c r="B66" s="44"/>
      <c r="C66" s="44"/>
      <c r="D66" s="42"/>
      <c r="E66" s="42"/>
      <c r="F66" s="348"/>
      <c r="G66" s="26"/>
      <c r="H66" s="39"/>
      <c r="I66" s="53"/>
      <c r="J66" s="38"/>
    </row>
    <row r="67" spans="1:10" x14ac:dyDescent="0.25">
      <c r="A67" s="42"/>
      <c r="B67" s="44"/>
      <c r="C67" s="44"/>
      <c r="D67" s="42"/>
      <c r="E67" s="42"/>
      <c r="F67" s="348"/>
      <c r="G67" s="26"/>
      <c r="H67" s="39"/>
      <c r="I67" s="53"/>
      <c r="J67" s="38"/>
    </row>
    <row r="68" spans="1:10" x14ac:dyDescent="0.25">
      <c r="A68" s="42"/>
      <c r="B68" s="44"/>
      <c r="C68" s="44"/>
      <c r="D68" s="42"/>
      <c r="E68" s="42"/>
      <c r="F68" s="348"/>
      <c r="G68" s="26"/>
      <c r="H68" s="39"/>
      <c r="I68" s="53"/>
      <c r="J68" s="38"/>
    </row>
    <row r="69" spans="1:10" ht="24.6" x14ac:dyDescent="0.4">
      <c r="A69" s="432" t="s">
        <v>381</v>
      </c>
      <c r="B69" s="433"/>
      <c r="C69" s="434"/>
      <c r="D69" s="6"/>
      <c r="E69" s="7"/>
      <c r="F69" s="8"/>
      <c r="G69" s="9"/>
      <c r="H69" s="10"/>
      <c r="I69" s="9"/>
      <c r="J69" s="10"/>
    </row>
    <row r="70" spans="1:10" x14ac:dyDescent="0.3">
      <c r="A70" s="11"/>
      <c r="B70" s="12"/>
      <c r="C70" s="12"/>
      <c r="D70" s="13"/>
      <c r="E70" s="13"/>
      <c r="F70" s="14"/>
      <c r="G70" s="13"/>
      <c r="H70" s="15"/>
      <c r="I70" s="16" t="s">
        <v>0</v>
      </c>
      <c r="J70" s="17"/>
    </row>
    <row r="71" spans="1:10" ht="21" x14ac:dyDescent="0.4">
      <c r="A71" s="426" t="s">
        <v>138</v>
      </c>
      <c r="B71" s="427"/>
      <c r="C71" s="428"/>
      <c r="D71" s="13"/>
      <c r="E71" s="17"/>
      <c r="F71" s="18"/>
      <c r="G71" s="19"/>
      <c r="H71" s="20"/>
      <c r="I71" s="21">
        <f>SUM(F72:F78)</f>
        <v>398</v>
      </c>
      <c r="J71" s="22"/>
    </row>
    <row r="72" spans="1:10" x14ac:dyDescent="0.3">
      <c r="A72" s="13"/>
      <c r="B72" s="23" t="s">
        <v>1</v>
      </c>
      <c r="C72" s="23" t="s">
        <v>2</v>
      </c>
      <c r="D72" s="24" t="s">
        <v>3</v>
      </c>
      <c r="E72" s="25" t="s">
        <v>4</v>
      </c>
      <c r="F72" s="26" t="s">
        <v>5</v>
      </c>
      <c r="G72" s="24" t="s">
        <v>6</v>
      </c>
      <c r="H72" s="27" t="s">
        <v>7</v>
      </c>
      <c r="I72" s="23" t="s">
        <v>8</v>
      </c>
      <c r="J72" s="28" t="s">
        <v>9</v>
      </c>
    </row>
    <row r="73" spans="1:10" x14ac:dyDescent="0.3">
      <c r="A73" s="13"/>
      <c r="B73" s="29" t="s">
        <v>10</v>
      </c>
      <c r="C73" s="30"/>
      <c r="D73" s="30"/>
      <c r="E73" s="31"/>
      <c r="F73" s="32"/>
      <c r="G73" s="30"/>
      <c r="H73" s="31"/>
      <c r="I73" s="33"/>
      <c r="J73" s="34"/>
    </row>
    <row r="74" spans="1:10" s="62" customFormat="1" x14ac:dyDescent="0.25">
      <c r="A74" s="42"/>
      <c r="B74" s="35" t="s">
        <v>40</v>
      </c>
      <c r="C74" s="36" t="s">
        <v>11</v>
      </c>
      <c r="D74" s="350" t="s">
        <v>29</v>
      </c>
      <c r="E74" s="350">
        <v>3</v>
      </c>
      <c r="F74" s="349">
        <v>111</v>
      </c>
      <c r="G74" s="351"/>
      <c r="H74" s="352" t="s">
        <v>123</v>
      </c>
      <c r="I74" s="353" t="s">
        <v>127</v>
      </c>
      <c r="J74" s="26"/>
    </row>
    <row r="75" spans="1:10" x14ac:dyDescent="0.25">
      <c r="A75" s="42"/>
      <c r="B75" s="44" t="s">
        <v>42</v>
      </c>
      <c r="C75" s="44" t="s">
        <v>11</v>
      </c>
      <c r="D75" s="37" t="s">
        <v>29</v>
      </c>
      <c r="E75" s="37">
        <v>3</v>
      </c>
      <c r="F75" s="346">
        <v>177</v>
      </c>
      <c r="G75" s="14"/>
      <c r="H75" s="39" t="s">
        <v>125</v>
      </c>
      <c r="I75" s="43" t="s">
        <v>126</v>
      </c>
      <c r="J75" s="38"/>
    </row>
    <row r="76" spans="1:10" x14ac:dyDescent="0.25">
      <c r="A76" s="42"/>
      <c r="B76" s="44" t="s">
        <v>41</v>
      </c>
      <c r="C76" s="39" t="s">
        <v>17</v>
      </c>
      <c r="D76" s="37" t="s">
        <v>29</v>
      </c>
      <c r="E76" s="37">
        <v>3</v>
      </c>
      <c r="F76" s="346">
        <v>110</v>
      </c>
      <c r="G76" s="14"/>
      <c r="H76" s="39" t="s">
        <v>123</v>
      </c>
      <c r="I76" s="43" t="s">
        <v>310</v>
      </c>
      <c r="J76" s="38"/>
    </row>
    <row r="77" spans="1:10" x14ac:dyDescent="0.25">
      <c r="A77" s="42"/>
      <c r="B77" s="53"/>
      <c r="C77" s="53"/>
      <c r="D77" s="53"/>
      <c r="E77" s="13"/>
      <c r="F77" s="14"/>
      <c r="G77" s="53"/>
      <c r="H77" s="94"/>
      <c r="I77" s="13"/>
      <c r="J77" s="38"/>
    </row>
    <row r="78" spans="1:10" x14ac:dyDescent="0.3">
      <c r="A78" s="11"/>
      <c r="B78" s="12"/>
      <c r="C78" s="12"/>
      <c r="D78" s="13"/>
      <c r="E78" s="13"/>
      <c r="F78" s="14"/>
      <c r="G78" s="13"/>
      <c r="H78" s="15"/>
      <c r="I78" s="16" t="s">
        <v>0</v>
      </c>
      <c r="J78" s="17"/>
    </row>
    <row r="79" spans="1:10" ht="21" x14ac:dyDescent="0.4">
      <c r="A79" s="426" t="s">
        <v>139</v>
      </c>
      <c r="B79" s="427"/>
      <c r="C79" s="428"/>
      <c r="D79" s="13"/>
      <c r="E79" s="17"/>
      <c r="F79" s="18"/>
      <c r="G79" s="19"/>
      <c r="H79" s="20"/>
      <c r="I79" s="21">
        <f>SUM(F82:F83)</f>
        <v>0</v>
      </c>
      <c r="J79" s="22"/>
    </row>
    <row r="80" spans="1:10" x14ac:dyDescent="0.3">
      <c r="A80" s="13"/>
      <c r="B80" s="23" t="s">
        <v>1</v>
      </c>
      <c r="C80" s="23" t="s">
        <v>2</v>
      </c>
      <c r="D80" s="24" t="s">
        <v>3</v>
      </c>
      <c r="E80" s="25" t="s">
        <v>4</v>
      </c>
      <c r="F80" s="26" t="s">
        <v>5</v>
      </c>
      <c r="G80" s="24" t="s">
        <v>6</v>
      </c>
      <c r="H80" s="27" t="s">
        <v>7</v>
      </c>
      <c r="I80" s="23" t="s">
        <v>8</v>
      </c>
      <c r="J80" s="28" t="s">
        <v>9</v>
      </c>
    </row>
    <row r="81" spans="1:10" x14ac:dyDescent="0.3">
      <c r="A81" s="13"/>
      <c r="B81" s="29" t="s">
        <v>10</v>
      </c>
      <c r="C81" s="30"/>
      <c r="D81" s="30"/>
      <c r="E81" s="31"/>
      <c r="F81" s="32"/>
      <c r="G81" s="30"/>
      <c r="H81" s="31"/>
      <c r="I81" s="33"/>
      <c r="J81" s="34"/>
    </row>
    <row r="82" spans="1:10" x14ac:dyDescent="0.25">
      <c r="A82" s="42"/>
      <c r="B82" s="106" t="s">
        <v>140</v>
      </c>
      <c r="C82" s="45"/>
      <c r="D82" s="79"/>
      <c r="E82" s="79"/>
      <c r="F82" s="38"/>
      <c r="G82" s="14"/>
      <c r="H82" s="107"/>
      <c r="I82" s="43"/>
      <c r="J82" s="38"/>
    </row>
    <row r="83" spans="1:10" x14ac:dyDescent="0.25">
      <c r="A83" s="42"/>
      <c r="B83" s="77"/>
      <c r="C83" s="45"/>
      <c r="D83" s="42"/>
      <c r="E83" s="42"/>
      <c r="F83" s="348"/>
      <c r="G83" s="26"/>
      <c r="H83" s="46"/>
      <c r="I83" s="106"/>
      <c r="J83" s="38"/>
    </row>
    <row r="84" spans="1:10" x14ac:dyDescent="0.3">
      <c r="A84" s="11"/>
      <c r="B84" s="12"/>
      <c r="C84" s="12"/>
      <c r="D84" s="13"/>
      <c r="E84" s="13"/>
      <c r="F84" s="14"/>
      <c r="G84" s="13"/>
      <c r="H84" s="47" t="s">
        <v>13</v>
      </c>
      <c r="I84" s="17"/>
      <c r="J84" s="17"/>
    </row>
    <row r="85" spans="1:10" s="61" customFormat="1" ht="21" x14ac:dyDescent="0.4">
      <c r="A85" s="431" t="s">
        <v>121</v>
      </c>
      <c r="B85" s="431"/>
      <c r="C85" s="431"/>
      <c r="D85" s="13"/>
      <c r="E85" s="17"/>
      <c r="F85" s="18"/>
      <c r="G85" s="19"/>
      <c r="H85" s="48">
        <f>SUM(F88:F90)</f>
        <v>603</v>
      </c>
      <c r="I85" s="14"/>
      <c r="J85" s="28"/>
    </row>
    <row r="86" spans="1:10" x14ac:dyDescent="0.3">
      <c r="A86" s="13"/>
      <c r="B86" s="23" t="s">
        <v>1</v>
      </c>
      <c r="C86" s="23" t="s">
        <v>2</v>
      </c>
      <c r="D86" s="24" t="s">
        <v>3</v>
      </c>
      <c r="E86" s="25" t="s">
        <v>4</v>
      </c>
      <c r="F86" s="26" t="s">
        <v>5</v>
      </c>
      <c r="G86" s="24" t="s">
        <v>6</v>
      </c>
      <c r="H86" s="27" t="s">
        <v>7</v>
      </c>
      <c r="I86" s="23" t="s">
        <v>8</v>
      </c>
      <c r="J86" s="28"/>
    </row>
    <row r="87" spans="1:10" x14ac:dyDescent="0.3">
      <c r="A87" s="13"/>
      <c r="B87" s="29" t="s">
        <v>10</v>
      </c>
      <c r="C87" s="30"/>
      <c r="D87" s="30"/>
      <c r="E87" s="31"/>
      <c r="F87" s="32"/>
      <c r="G87" s="49"/>
      <c r="H87" s="50"/>
      <c r="I87" s="33"/>
      <c r="J87" s="34"/>
    </row>
    <row r="88" spans="1:10" ht="30" x14ac:dyDescent="0.25">
      <c r="A88" s="42"/>
      <c r="B88" s="77" t="s">
        <v>65</v>
      </c>
      <c r="C88" s="46" t="s">
        <v>66</v>
      </c>
      <c r="D88" s="37" t="s">
        <v>14</v>
      </c>
      <c r="E88" s="37">
        <v>2</v>
      </c>
      <c r="F88" s="346">
        <f>(108+297+51)</f>
        <v>456</v>
      </c>
      <c r="G88" s="14"/>
      <c r="H88" s="46" t="s">
        <v>133</v>
      </c>
      <c r="I88" s="96" t="s">
        <v>376</v>
      </c>
      <c r="J88" s="38"/>
    </row>
    <row r="89" spans="1:10" x14ac:dyDescent="0.25">
      <c r="A89" s="42"/>
      <c r="B89" s="338" t="s">
        <v>70</v>
      </c>
      <c r="C89" s="339" t="s">
        <v>46</v>
      </c>
      <c r="D89" s="37" t="s">
        <v>14</v>
      </c>
      <c r="E89" s="37">
        <v>2</v>
      </c>
      <c r="F89" s="348">
        <v>147</v>
      </c>
      <c r="G89" s="26"/>
      <c r="H89" s="39" t="s">
        <v>160</v>
      </c>
      <c r="I89" s="53" t="s">
        <v>377</v>
      </c>
      <c r="J89" s="38"/>
    </row>
    <row r="90" spans="1:10" x14ac:dyDescent="0.25">
      <c r="A90" s="42"/>
      <c r="B90" s="44"/>
      <c r="C90" s="44"/>
      <c r="D90" s="42"/>
      <c r="E90" s="42"/>
      <c r="F90" s="348"/>
      <c r="G90" s="26"/>
      <c r="H90" s="39"/>
      <c r="I90" s="53"/>
      <c r="J90" s="38"/>
    </row>
    <row r="91" spans="1:10" s="61" customFormat="1" ht="21" x14ac:dyDescent="0.4">
      <c r="A91" s="431" t="s">
        <v>354</v>
      </c>
      <c r="B91" s="431"/>
      <c r="C91" s="431"/>
      <c r="D91" s="13"/>
      <c r="E91" s="17"/>
      <c r="F91" s="18"/>
      <c r="G91" s="19"/>
      <c r="H91" s="48">
        <f>SUM(F94:F97)</f>
        <v>306</v>
      </c>
      <c r="I91" s="14"/>
      <c r="J91" s="28"/>
    </row>
    <row r="92" spans="1:10" x14ac:dyDescent="0.3">
      <c r="A92" s="13"/>
      <c r="B92" s="23" t="s">
        <v>1</v>
      </c>
      <c r="C92" s="23" t="s">
        <v>2</v>
      </c>
      <c r="D92" s="24" t="s">
        <v>3</v>
      </c>
      <c r="E92" s="25" t="s">
        <v>4</v>
      </c>
      <c r="F92" s="26" t="s">
        <v>5</v>
      </c>
      <c r="G92" s="24" t="s">
        <v>6</v>
      </c>
      <c r="H92" s="27" t="s">
        <v>7</v>
      </c>
      <c r="I92" s="23" t="s">
        <v>8</v>
      </c>
      <c r="J92" s="28"/>
    </row>
    <row r="93" spans="1:10" x14ac:dyDescent="0.3">
      <c r="A93" s="13"/>
      <c r="B93" s="29" t="s">
        <v>10</v>
      </c>
      <c r="C93" s="30"/>
      <c r="D93" s="30"/>
      <c r="E93" s="31"/>
      <c r="F93" s="32"/>
      <c r="G93" s="49"/>
      <c r="H93" s="50"/>
      <c r="I93" s="33"/>
      <c r="J93" s="34"/>
    </row>
    <row r="94" spans="1:10" x14ac:dyDescent="0.25">
      <c r="A94" s="42"/>
      <c r="B94" s="51" t="s">
        <v>67</v>
      </c>
      <c r="C94" s="52" t="s">
        <v>44</v>
      </c>
      <c r="D94" s="37" t="s">
        <v>14</v>
      </c>
      <c r="E94" s="37">
        <v>2</v>
      </c>
      <c r="F94" s="348">
        <v>63</v>
      </c>
      <c r="G94" s="26"/>
      <c r="H94" s="39" t="s">
        <v>158</v>
      </c>
      <c r="I94" s="347" t="s">
        <v>368</v>
      </c>
      <c r="J94" s="38"/>
    </row>
    <row r="95" spans="1:10" x14ac:dyDescent="0.25">
      <c r="A95" s="42"/>
      <c r="B95" s="51" t="s">
        <v>68</v>
      </c>
      <c r="C95" s="52" t="s">
        <v>33</v>
      </c>
      <c r="D95" s="37" t="s">
        <v>14</v>
      </c>
      <c r="E95" s="37">
        <v>2</v>
      </c>
      <c r="F95" s="348">
        <v>243</v>
      </c>
      <c r="G95" s="26"/>
      <c r="H95" s="39" t="s">
        <v>157</v>
      </c>
      <c r="I95" s="53" t="s">
        <v>375</v>
      </c>
      <c r="J95" s="38"/>
    </row>
    <row r="96" spans="1:10" x14ac:dyDescent="0.25">
      <c r="A96" s="42"/>
      <c r="B96" s="44"/>
      <c r="C96" s="44"/>
      <c r="D96" s="42"/>
      <c r="E96" s="42"/>
      <c r="F96" s="348"/>
      <c r="G96" s="26"/>
      <c r="H96" s="39"/>
      <c r="I96" s="53"/>
      <c r="J96" s="38"/>
    </row>
    <row r="97" spans="1:10" x14ac:dyDescent="0.25">
      <c r="A97" s="42"/>
      <c r="B97" s="44"/>
      <c r="C97" s="44"/>
      <c r="D97" s="42"/>
      <c r="E97" s="42"/>
      <c r="F97" s="348"/>
      <c r="G97" s="26"/>
      <c r="H97" s="39"/>
      <c r="I97" s="53"/>
      <c r="J97" s="38"/>
    </row>
    <row r="98" spans="1:10" x14ac:dyDescent="0.3">
      <c r="A98" s="57"/>
      <c r="B98" s="58"/>
      <c r="C98" s="58"/>
      <c r="D98" s="58"/>
      <c r="E98" s="58"/>
      <c r="G98" s="58"/>
      <c r="H98" s="60"/>
      <c r="I98" s="58"/>
    </row>
    <row r="99" spans="1:10" s="62" customFormat="1" ht="21" x14ac:dyDescent="0.3">
      <c r="A99" s="340" t="s">
        <v>362</v>
      </c>
      <c r="B99" s="341"/>
      <c r="C99" s="341"/>
      <c r="D99" s="342"/>
      <c r="E99" s="343"/>
      <c r="F99" s="69"/>
      <c r="G99" s="344"/>
      <c r="H99" s="345"/>
      <c r="I99" s="345"/>
      <c r="J99" s="345"/>
    </row>
    <row r="100" spans="1:10" x14ac:dyDescent="0.3">
      <c r="A100" s="57"/>
      <c r="B100" s="58"/>
      <c r="C100" s="58"/>
      <c r="D100" s="58"/>
      <c r="E100" s="58"/>
      <c r="G100" s="58"/>
      <c r="H100" s="60"/>
      <c r="I100" s="58"/>
    </row>
    <row r="101" spans="1:10" ht="24.6" x14ac:dyDescent="0.4">
      <c r="A101" s="432" t="s">
        <v>382</v>
      </c>
      <c r="B101" s="433"/>
      <c r="C101" s="434"/>
      <c r="D101" s="6"/>
      <c r="E101" s="7"/>
      <c r="F101" s="8"/>
      <c r="G101" s="9"/>
      <c r="H101" s="10"/>
      <c r="I101" s="9"/>
      <c r="J101" s="10"/>
    </row>
    <row r="102" spans="1:10" x14ac:dyDescent="0.3">
      <c r="A102" s="11"/>
      <c r="B102" s="12"/>
      <c r="C102" s="12"/>
      <c r="D102" s="13"/>
      <c r="E102" s="13"/>
      <c r="F102" s="14"/>
      <c r="G102" s="13"/>
      <c r="H102" s="15"/>
      <c r="I102" s="16" t="s">
        <v>0</v>
      </c>
      <c r="J102" s="17"/>
    </row>
    <row r="103" spans="1:10" ht="21" x14ac:dyDescent="0.4">
      <c r="A103" s="426" t="s">
        <v>138</v>
      </c>
      <c r="B103" s="427"/>
      <c r="C103" s="428"/>
      <c r="D103" s="13"/>
      <c r="E103" s="17"/>
      <c r="F103" s="18"/>
      <c r="G103" s="19"/>
      <c r="H103" s="20"/>
      <c r="I103" s="21">
        <f>SUM(F104:F110)</f>
        <v>675</v>
      </c>
      <c r="J103" s="22"/>
    </row>
    <row r="104" spans="1:10" x14ac:dyDescent="0.3">
      <c r="A104" s="13"/>
      <c r="B104" s="23" t="s">
        <v>1</v>
      </c>
      <c r="C104" s="23" t="s">
        <v>2</v>
      </c>
      <c r="D104" s="24" t="s">
        <v>3</v>
      </c>
      <c r="E104" s="25" t="s">
        <v>4</v>
      </c>
      <c r="F104" s="26" t="s">
        <v>5</v>
      </c>
      <c r="G104" s="24" t="s">
        <v>6</v>
      </c>
      <c r="H104" s="27" t="s">
        <v>7</v>
      </c>
      <c r="I104" s="23" t="s">
        <v>8</v>
      </c>
      <c r="J104" s="28" t="s">
        <v>9</v>
      </c>
    </row>
    <row r="105" spans="1:10" x14ac:dyDescent="0.3">
      <c r="A105" s="13"/>
      <c r="B105" s="29" t="s">
        <v>10</v>
      </c>
      <c r="C105" s="30"/>
      <c r="D105" s="30"/>
      <c r="E105" s="31"/>
      <c r="F105" s="32"/>
      <c r="G105" s="30"/>
      <c r="H105" s="31"/>
      <c r="I105" s="33"/>
      <c r="J105" s="34"/>
    </row>
    <row r="106" spans="1:10" s="62" customFormat="1" ht="75" x14ac:dyDescent="0.25">
      <c r="A106" s="13"/>
      <c r="B106" s="54" t="s">
        <v>303</v>
      </c>
      <c r="C106" s="46" t="s">
        <v>57</v>
      </c>
      <c r="D106" s="37" t="s">
        <v>29</v>
      </c>
      <c r="E106" s="26">
        <v>3</v>
      </c>
      <c r="F106" s="346">
        <f>(300+128+50+41)</f>
        <v>519</v>
      </c>
      <c r="G106" s="14"/>
      <c r="H106" s="105" t="s">
        <v>129</v>
      </c>
      <c r="I106" s="46" t="s">
        <v>319</v>
      </c>
      <c r="J106" s="26"/>
    </row>
    <row r="107" spans="1:10" x14ac:dyDescent="0.25">
      <c r="A107" s="13"/>
      <c r="B107" s="54" t="s">
        <v>307</v>
      </c>
      <c r="C107" s="46" t="s">
        <v>308</v>
      </c>
      <c r="D107" s="37" t="s">
        <v>29</v>
      </c>
      <c r="E107" s="26">
        <v>2</v>
      </c>
      <c r="F107" s="73">
        <v>68</v>
      </c>
      <c r="G107" s="14"/>
      <c r="H107" s="105" t="s">
        <v>309</v>
      </c>
      <c r="I107" s="46" t="s">
        <v>318</v>
      </c>
      <c r="J107" s="38"/>
    </row>
    <row r="108" spans="1:10" x14ac:dyDescent="0.25">
      <c r="A108" s="42"/>
      <c r="B108" s="77" t="s">
        <v>60</v>
      </c>
      <c r="C108" s="54" t="s">
        <v>46</v>
      </c>
      <c r="D108" s="42" t="s">
        <v>14</v>
      </c>
      <c r="E108" s="42">
        <v>2</v>
      </c>
      <c r="F108" s="346">
        <v>88</v>
      </c>
      <c r="G108" s="63"/>
      <c r="H108" s="39" t="s">
        <v>132</v>
      </c>
      <c r="I108" s="43" t="s">
        <v>62</v>
      </c>
      <c r="J108" s="38"/>
    </row>
    <row r="109" spans="1:10" x14ac:dyDescent="0.25">
      <c r="A109" s="42"/>
      <c r="B109" s="53"/>
      <c r="C109" s="53"/>
      <c r="D109" s="53"/>
      <c r="E109" s="13"/>
      <c r="F109" s="14"/>
      <c r="G109" s="53"/>
      <c r="H109" s="94"/>
      <c r="I109" s="13"/>
      <c r="J109" s="38"/>
    </row>
    <row r="110" spans="1:10" x14ac:dyDescent="0.3">
      <c r="A110" s="11"/>
      <c r="B110" s="12"/>
      <c r="C110" s="12"/>
      <c r="D110" s="13"/>
      <c r="E110" s="13"/>
      <c r="F110" s="14"/>
      <c r="G110" s="13"/>
      <c r="H110" s="15"/>
      <c r="I110" s="16" t="s">
        <v>0</v>
      </c>
      <c r="J110" s="17"/>
    </row>
    <row r="111" spans="1:10" ht="21" x14ac:dyDescent="0.4">
      <c r="A111" s="426" t="s">
        <v>139</v>
      </c>
      <c r="B111" s="427"/>
      <c r="C111" s="428"/>
      <c r="D111" s="13"/>
      <c r="E111" s="17"/>
      <c r="F111" s="18"/>
      <c r="G111" s="19"/>
      <c r="H111" s="20"/>
      <c r="I111" s="21">
        <f>SUM(F114:F116)</f>
        <v>519</v>
      </c>
      <c r="J111" s="22"/>
    </row>
    <row r="112" spans="1:10" x14ac:dyDescent="0.3">
      <c r="A112" s="13"/>
      <c r="B112" s="23" t="s">
        <v>1</v>
      </c>
      <c r="C112" s="23" t="s">
        <v>2</v>
      </c>
      <c r="D112" s="24" t="s">
        <v>3</v>
      </c>
      <c r="E112" s="25" t="s">
        <v>4</v>
      </c>
      <c r="F112" s="26" t="s">
        <v>5</v>
      </c>
      <c r="G112" s="24" t="s">
        <v>6</v>
      </c>
      <c r="H112" s="27" t="s">
        <v>7</v>
      </c>
      <c r="I112" s="23" t="s">
        <v>8</v>
      </c>
      <c r="J112" s="28" t="s">
        <v>9</v>
      </c>
    </row>
    <row r="113" spans="1:10" x14ac:dyDescent="0.3">
      <c r="A113" s="13"/>
      <c r="B113" s="29" t="s">
        <v>10</v>
      </c>
      <c r="C113" s="30"/>
      <c r="D113" s="30"/>
      <c r="E113" s="31"/>
      <c r="F113" s="32"/>
      <c r="G113" s="30"/>
      <c r="H113" s="31"/>
      <c r="I113" s="33"/>
      <c r="J113" s="34"/>
    </row>
    <row r="114" spans="1:10" ht="42.6" customHeight="1" x14ac:dyDescent="0.25">
      <c r="A114" s="13"/>
      <c r="B114" s="54" t="s">
        <v>304</v>
      </c>
      <c r="C114" s="46" t="s">
        <v>57</v>
      </c>
      <c r="D114" s="37" t="s">
        <v>29</v>
      </c>
      <c r="E114" s="26">
        <v>3</v>
      </c>
      <c r="F114" s="346">
        <f>(300+128+50+41)</f>
        <v>519</v>
      </c>
      <c r="G114" s="14"/>
      <c r="H114" s="105" t="s">
        <v>129</v>
      </c>
      <c r="I114" s="43"/>
      <c r="J114" s="38"/>
    </row>
    <row r="115" spans="1:10" x14ac:dyDescent="0.25">
      <c r="A115" s="42"/>
      <c r="B115" s="77"/>
      <c r="C115" s="45"/>
      <c r="D115" s="42"/>
      <c r="E115" s="42"/>
      <c r="F115" s="348"/>
      <c r="G115" s="26"/>
      <c r="H115" s="46"/>
      <c r="I115" s="106"/>
      <c r="J115" s="38"/>
    </row>
    <row r="116" spans="1:10" x14ac:dyDescent="0.25">
      <c r="A116" s="42"/>
      <c r="B116" s="44"/>
      <c r="C116" s="44"/>
      <c r="D116" s="37"/>
      <c r="E116" s="37"/>
      <c r="F116" s="38"/>
      <c r="G116" s="14"/>
      <c r="H116" s="39"/>
      <c r="I116" s="43"/>
      <c r="J116" s="38"/>
    </row>
    <row r="117" spans="1:10" x14ac:dyDescent="0.3">
      <c r="A117" s="11"/>
      <c r="B117" s="12"/>
      <c r="C117" s="12"/>
      <c r="D117" s="13"/>
      <c r="E117" s="13"/>
      <c r="F117" s="14"/>
      <c r="G117" s="13"/>
      <c r="H117" s="47" t="s">
        <v>13</v>
      </c>
      <c r="I117" s="17"/>
      <c r="J117" s="17"/>
    </row>
    <row r="118" spans="1:10" s="61" customFormat="1" ht="21" x14ac:dyDescent="0.4">
      <c r="A118" s="431" t="s">
        <v>121</v>
      </c>
      <c r="B118" s="431"/>
      <c r="C118" s="431"/>
      <c r="D118" s="13"/>
      <c r="E118" s="17"/>
      <c r="F118" s="18"/>
      <c r="G118" s="19"/>
      <c r="H118" s="48">
        <f>SUM(F121:F124)</f>
        <v>340</v>
      </c>
      <c r="I118" s="14"/>
      <c r="J118" s="28"/>
    </row>
    <row r="119" spans="1:10" x14ac:dyDescent="0.3">
      <c r="A119" s="13"/>
      <c r="B119" s="23" t="s">
        <v>1</v>
      </c>
      <c r="C119" s="23" t="s">
        <v>2</v>
      </c>
      <c r="D119" s="24" t="s">
        <v>3</v>
      </c>
      <c r="E119" s="25" t="s">
        <v>4</v>
      </c>
      <c r="F119" s="26" t="s">
        <v>5</v>
      </c>
      <c r="G119" s="24" t="s">
        <v>6</v>
      </c>
      <c r="H119" s="27" t="s">
        <v>7</v>
      </c>
      <c r="I119" s="23" t="s">
        <v>8</v>
      </c>
      <c r="J119" s="28"/>
    </row>
    <row r="120" spans="1:10" x14ac:dyDescent="0.3">
      <c r="A120" s="13"/>
      <c r="B120" s="29" t="s">
        <v>10</v>
      </c>
      <c r="C120" s="30"/>
      <c r="D120" s="30"/>
      <c r="E120" s="31"/>
      <c r="F120" s="32"/>
      <c r="G120" s="49"/>
      <c r="H120" s="50"/>
      <c r="I120" s="33"/>
      <c r="J120" s="34"/>
    </row>
    <row r="121" spans="1:10" x14ac:dyDescent="0.25">
      <c r="A121" s="42"/>
      <c r="B121" s="44" t="s">
        <v>61</v>
      </c>
      <c r="C121" s="44" t="s">
        <v>11</v>
      </c>
      <c r="D121" s="42" t="s">
        <v>14</v>
      </c>
      <c r="E121" s="42">
        <v>2</v>
      </c>
      <c r="F121" s="348">
        <v>136</v>
      </c>
      <c r="G121" s="26"/>
      <c r="H121" s="39" t="s">
        <v>156</v>
      </c>
      <c r="I121" s="53" t="s">
        <v>378</v>
      </c>
      <c r="J121" s="38"/>
    </row>
    <row r="122" spans="1:10" x14ac:dyDescent="0.25">
      <c r="A122" s="42"/>
      <c r="B122" s="44" t="s">
        <v>50</v>
      </c>
      <c r="C122" s="44" t="s">
        <v>17</v>
      </c>
      <c r="D122" s="42" t="s">
        <v>14</v>
      </c>
      <c r="E122" s="42">
        <v>2</v>
      </c>
      <c r="F122" s="348">
        <v>97</v>
      </c>
      <c r="G122" s="26"/>
      <c r="H122" s="39" t="s">
        <v>150</v>
      </c>
      <c r="I122" s="53" t="s">
        <v>372</v>
      </c>
      <c r="J122" s="38"/>
    </row>
    <row r="123" spans="1:10" x14ac:dyDescent="0.25">
      <c r="A123" s="42"/>
      <c r="B123" s="44" t="s">
        <v>51</v>
      </c>
      <c r="C123" s="44" t="s">
        <v>11</v>
      </c>
      <c r="D123" s="42" t="s">
        <v>14</v>
      </c>
      <c r="E123" s="42">
        <v>2</v>
      </c>
      <c r="F123" s="348">
        <v>107</v>
      </c>
      <c r="G123" s="26"/>
      <c r="H123" s="39" t="s">
        <v>151</v>
      </c>
      <c r="I123" s="53" t="s">
        <v>368</v>
      </c>
      <c r="J123" s="38"/>
    </row>
    <row r="124" spans="1:10" x14ac:dyDescent="0.25">
      <c r="A124" s="42"/>
      <c r="B124" s="44"/>
      <c r="C124" s="44"/>
      <c r="D124" s="42"/>
      <c r="E124" s="42"/>
      <c r="F124" s="348"/>
      <c r="G124" s="26"/>
      <c r="H124" s="39"/>
      <c r="I124" s="53"/>
      <c r="J124" s="38"/>
    </row>
    <row r="125" spans="1:10" s="61" customFormat="1" ht="21" x14ac:dyDescent="0.4">
      <c r="A125" s="431" t="s">
        <v>354</v>
      </c>
      <c r="B125" s="431"/>
      <c r="C125" s="431"/>
      <c r="D125" s="13"/>
      <c r="E125" s="17"/>
      <c r="F125" s="18"/>
      <c r="G125" s="19"/>
      <c r="H125" s="48">
        <f>SUM(F128:F275)</f>
        <v>6397</v>
      </c>
      <c r="I125" s="14"/>
      <c r="J125" s="28"/>
    </row>
    <row r="126" spans="1:10" x14ac:dyDescent="0.3">
      <c r="A126" s="13"/>
      <c r="B126" s="23" t="s">
        <v>1</v>
      </c>
      <c r="C126" s="23" t="s">
        <v>2</v>
      </c>
      <c r="D126" s="24" t="s">
        <v>3</v>
      </c>
      <c r="E126" s="25" t="s">
        <v>4</v>
      </c>
      <c r="F126" s="26" t="s">
        <v>5</v>
      </c>
      <c r="G126" s="24" t="s">
        <v>6</v>
      </c>
      <c r="H126" s="27" t="s">
        <v>7</v>
      </c>
      <c r="I126" s="23" t="s">
        <v>8</v>
      </c>
      <c r="J126" s="28"/>
    </row>
    <row r="127" spans="1:10" x14ac:dyDescent="0.3">
      <c r="A127" s="13"/>
      <c r="B127" s="29" t="s">
        <v>10</v>
      </c>
      <c r="C127" s="30"/>
      <c r="D127" s="30"/>
      <c r="E127" s="31"/>
      <c r="F127" s="32"/>
      <c r="G127" s="49"/>
      <c r="H127" s="50"/>
      <c r="I127" s="33"/>
      <c r="J127" s="34"/>
    </row>
    <row r="128" spans="1:10" ht="120" x14ac:dyDescent="0.25">
      <c r="A128" s="42"/>
      <c r="B128" s="45" t="s">
        <v>100</v>
      </c>
      <c r="C128" s="45" t="s">
        <v>93</v>
      </c>
      <c r="D128" s="78" t="s">
        <v>14</v>
      </c>
      <c r="E128" s="78">
        <v>2</v>
      </c>
      <c r="F128" s="103">
        <f>624+228</f>
        <v>852</v>
      </c>
      <c r="G128" s="37"/>
      <c r="H128" s="19" t="s">
        <v>118</v>
      </c>
      <c r="I128" s="347" t="s">
        <v>387</v>
      </c>
      <c r="J128" s="38"/>
    </row>
    <row r="129" spans="1:10" x14ac:dyDescent="0.25">
      <c r="A129" s="42"/>
      <c r="B129" s="44"/>
      <c r="C129" s="44"/>
      <c r="D129" s="42"/>
      <c r="E129" s="42"/>
      <c r="F129" s="348"/>
      <c r="G129" s="26"/>
      <c r="H129" s="39"/>
      <c r="I129" s="53"/>
      <c r="J129" s="38"/>
    </row>
    <row r="130" spans="1:10" x14ac:dyDescent="0.25">
      <c r="A130" s="42"/>
      <c r="B130" s="44"/>
      <c r="C130" s="44"/>
      <c r="D130" s="42"/>
      <c r="E130" s="42"/>
      <c r="F130" s="348"/>
      <c r="G130" s="26"/>
      <c r="H130" s="39"/>
      <c r="I130" s="53"/>
      <c r="J130" s="38"/>
    </row>
    <row r="131" spans="1:10" ht="24.6" x14ac:dyDescent="0.4">
      <c r="A131" s="432" t="s">
        <v>383</v>
      </c>
      <c r="B131" s="433"/>
      <c r="C131" s="434"/>
      <c r="D131" s="6"/>
      <c r="E131" s="7"/>
      <c r="F131" s="8"/>
      <c r="G131" s="9"/>
      <c r="H131" s="10"/>
      <c r="I131" s="9"/>
      <c r="J131" s="10"/>
    </row>
    <row r="132" spans="1:10" x14ac:dyDescent="0.3">
      <c r="A132" s="11"/>
      <c r="B132" s="12"/>
      <c r="C132" s="12"/>
      <c r="D132" s="13"/>
      <c r="E132" s="13"/>
      <c r="F132" s="14"/>
      <c r="G132" s="13"/>
      <c r="H132" s="15"/>
      <c r="I132" s="16" t="s">
        <v>0</v>
      </c>
      <c r="J132" s="17"/>
    </row>
    <row r="133" spans="1:10" ht="21" x14ac:dyDescent="0.4">
      <c r="A133" s="426" t="s">
        <v>138</v>
      </c>
      <c r="B133" s="427"/>
      <c r="C133" s="428"/>
      <c r="D133" s="13"/>
      <c r="E133" s="17"/>
      <c r="F133" s="18"/>
      <c r="G133" s="19"/>
      <c r="H133" s="20"/>
      <c r="I133" s="21">
        <f>SUM(F134:F140)</f>
        <v>75</v>
      </c>
      <c r="J133" s="22"/>
    </row>
    <row r="134" spans="1:10" x14ac:dyDescent="0.3">
      <c r="A134" s="13"/>
      <c r="B134" s="23" t="s">
        <v>1</v>
      </c>
      <c r="C134" s="23" t="s">
        <v>2</v>
      </c>
      <c r="D134" s="24" t="s">
        <v>3</v>
      </c>
      <c r="E134" s="25" t="s">
        <v>4</v>
      </c>
      <c r="F134" s="26" t="s">
        <v>5</v>
      </c>
      <c r="G134" s="24" t="s">
        <v>6</v>
      </c>
      <c r="H134" s="27" t="s">
        <v>7</v>
      </c>
      <c r="I134" s="23" t="s">
        <v>8</v>
      </c>
      <c r="J134" s="28" t="s">
        <v>9</v>
      </c>
    </row>
    <row r="135" spans="1:10" x14ac:dyDescent="0.3">
      <c r="A135" s="13"/>
      <c r="B135" s="29" t="s">
        <v>10</v>
      </c>
      <c r="C135" s="30"/>
      <c r="D135" s="30"/>
      <c r="E135" s="31"/>
      <c r="F135" s="32"/>
      <c r="G135" s="30"/>
      <c r="H135" s="31"/>
      <c r="I135" s="33"/>
      <c r="J135" s="34"/>
    </row>
    <row r="136" spans="1:10" s="62" customFormat="1" x14ac:dyDescent="0.25">
      <c r="A136" s="13"/>
      <c r="B136" s="35" t="s">
        <v>49</v>
      </c>
      <c r="C136" s="36" t="s">
        <v>28</v>
      </c>
      <c r="D136" s="37" t="s">
        <v>29</v>
      </c>
      <c r="E136" s="37">
        <v>3</v>
      </c>
      <c r="F136" s="38">
        <v>75</v>
      </c>
      <c r="G136" s="14"/>
      <c r="H136" s="39" t="s">
        <v>128</v>
      </c>
      <c r="I136" s="40" t="s">
        <v>124</v>
      </c>
      <c r="J136" s="26"/>
    </row>
    <row r="137" spans="1:10" x14ac:dyDescent="0.25">
      <c r="A137" s="42"/>
      <c r="B137" s="96"/>
      <c r="C137" s="45"/>
      <c r="D137" s="79"/>
      <c r="E137" s="79"/>
      <c r="F137" s="103"/>
      <c r="G137" s="37"/>
      <c r="H137" s="19"/>
      <c r="I137" s="106"/>
      <c r="J137" s="38"/>
    </row>
    <row r="138" spans="1:10" x14ac:dyDescent="0.25">
      <c r="A138" s="42"/>
      <c r="B138" s="53"/>
      <c r="C138" s="53"/>
      <c r="D138" s="53"/>
      <c r="E138" s="13"/>
      <c r="F138" s="14"/>
      <c r="G138" s="53"/>
      <c r="H138" s="94"/>
      <c r="I138" s="13"/>
      <c r="J138" s="38"/>
    </row>
    <row r="139" spans="1:10" x14ac:dyDescent="0.25">
      <c r="A139" s="42"/>
      <c r="B139" s="53"/>
      <c r="C139" s="53"/>
      <c r="D139" s="53"/>
      <c r="E139" s="13"/>
      <c r="F139" s="14"/>
      <c r="G139" s="53"/>
      <c r="H139" s="94"/>
      <c r="I139" s="13"/>
      <c r="J139" s="38"/>
    </row>
    <row r="140" spans="1:10" x14ac:dyDescent="0.3">
      <c r="A140" s="11"/>
      <c r="B140" s="12"/>
      <c r="C140" s="12"/>
      <c r="D140" s="13"/>
      <c r="E140" s="13"/>
      <c r="F140" s="14"/>
      <c r="G140" s="13"/>
      <c r="H140" s="15"/>
      <c r="I140" s="16" t="s">
        <v>0</v>
      </c>
      <c r="J140" s="17"/>
    </row>
    <row r="141" spans="1:10" ht="21" x14ac:dyDescent="0.4">
      <c r="A141" s="426" t="s">
        <v>139</v>
      </c>
      <c r="B141" s="427"/>
      <c r="C141" s="428"/>
      <c r="D141" s="13"/>
      <c r="E141" s="17"/>
      <c r="F141" s="18"/>
      <c r="G141" s="19"/>
      <c r="H141" s="20"/>
      <c r="I141" s="21">
        <f>SUM(F144:F145)</f>
        <v>0</v>
      </c>
      <c r="J141" s="22"/>
    </row>
    <row r="142" spans="1:10" x14ac:dyDescent="0.3">
      <c r="A142" s="13"/>
      <c r="B142" s="23" t="s">
        <v>1</v>
      </c>
      <c r="C142" s="23" t="s">
        <v>2</v>
      </c>
      <c r="D142" s="24" t="s">
        <v>3</v>
      </c>
      <c r="E142" s="25" t="s">
        <v>4</v>
      </c>
      <c r="F142" s="26" t="s">
        <v>5</v>
      </c>
      <c r="G142" s="24" t="s">
        <v>6</v>
      </c>
      <c r="H142" s="27" t="s">
        <v>7</v>
      </c>
      <c r="I142" s="23" t="s">
        <v>8</v>
      </c>
      <c r="J142" s="28" t="s">
        <v>9</v>
      </c>
    </row>
    <row r="143" spans="1:10" x14ac:dyDescent="0.3">
      <c r="A143" s="13"/>
      <c r="B143" s="29" t="s">
        <v>10</v>
      </c>
      <c r="C143" s="30"/>
      <c r="D143" s="30"/>
      <c r="E143" s="31"/>
      <c r="F143" s="32"/>
      <c r="G143" s="30"/>
      <c r="H143" s="31"/>
      <c r="I143" s="33"/>
      <c r="J143" s="34"/>
    </row>
    <row r="144" spans="1:10" x14ac:dyDescent="0.25">
      <c r="A144" s="42"/>
      <c r="B144" s="106" t="s">
        <v>140</v>
      </c>
      <c r="C144" s="45"/>
      <c r="D144" s="79"/>
      <c r="E144" s="79"/>
      <c r="F144" s="38"/>
      <c r="G144" s="14"/>
      <c r="H144" s="107"/>
      <c r="I144" s="43"/>
      <c r="J144" s="38"/>
    </row>
    <row r="145" spans="1:10" x14ac:dyDescent="0.25">
      <c r="A145" s="42"/>
      <c r="B145" s="77"/>
      <c r="C145" s="45"/>
      <c r="D145" s="42"/>
      <c r="E145" s="42"/>
      <c r="F145" s="348"/>
      <c r="G145" s="26"/>
      <c r="H145" s="46"/>
      <c r="I145" s="106"/>
      <c r="J145" s="38"/>
    </row>
    <row r="146" spans="1:10" x14ac:dyDescent="0.3">
      <c r="A146" s="11"/>
      <c r="B146" s="12"/>
      <c r="C146" s="12"/>
      <c r="D146" s="13"/>
      <c r="E146" s="13"/>
      <c r="F146" s="14"/>
      <c r="G146" s="13"/>
      <c r="H146" s="47" t="s">
        <v>13</v>
      </c>
      <c r="I146" s="17"/>
      <c r="J146" s="17"/>
    </row>
    <row r="147" spans="1:10" s="61" customFormat="1" ht="21" x14ac:dyDescent="0.4">
      <c r="A147" s="431" t="s">
        <v>121</v>
      </c>
      <c r="B147" s="431"/>
      <c r="C147" s="431"/>
      <c r="D147" s="13"/>
      <c r="E147" s="17"/>
      <c r="F147" s="18"/>
      <c r="G147" s="19"/>
      <c r="H147" s="48">
        <f>SUM(F150:F154)</f>
        <v>404</v>
      </c>
      <c r="I147" s="14"/>
      <c r="J147" s="28"/>
    </row>
    <row r="148" spans="1:10" x14ac:dyDescent="0.3">
      <c r="A148" s="13"/>
      <c r="B148" s="23" t="s">
        <v>1</v>
      </c>
      <c r="C148" s="23" t="s">
        <v>2</v>
      </c>
      <c r="D148" s="24" t="s">
        <v>3</v>
      </c>
      <c r="E148" s="25" t="s">
        <v>4</v>
      </c>
      <c r="F148" s="26" t="s">
        <v>5</v>
      </c>
      <c r="G148" s="24" t="s">
        <v>6</v>
      </c>
      <c r="H148" s="27" t="s">
        <v>7</v>
      </c>
      <c r="I148" s="23" t="s">
        <v>8</v>
      </c>
      <c r="J148" s="28"/>
    </row>
    <row r="149" spans="1:10" x14ac:dyDescent="0.3">
      <c r="A149" s="13"/>
      <c r="B149" s="29" t="s">
        <v>10</v>
      </c>
      <c r="C149" s="30"/>
      <c r="D149" s="30"/>
      <c r="E149" s="31"/>
      <c r="F149" s="32"/>
      <c r="G149" s="49"/>
      <c r="H149" s="50"/>
      <c r="I149" s="33"/>
      <c r="J149" s="34"/>
    </row>
    <row r="150" spans="1:10" x14ac:dyDescent="0.25">
      <c r="A150" s="42"/>
      <c r="B150" s="77" t="s">
        <v>16</v>
      </c>
      <c r="C150" s="77" t="s">
        <v>17</v>
      </c>
      <c r="D150" s="42" t="s">
        <v>14</v>
      </c>
      <c r="E150" s="42">
        <v>2</v>
      </c>
      <c r="F150" s="348">
        <v>99</v>
      </c>
      <c r="G150" s="38"/>
      <c r="H150" s="44" t="s">
        <v>18</v>
      </c>
      <c r="I150" s="53" t="s">
        <v>372</v>
      </c>
      <c r="J150" s="38"/>
    </row>
    <row r="151" spans="1:10" x14ac:dyDescent="0.25">
      <c r="A151" s="42"/>
      <c r="B151" s="54" t="s">
        <v>19</v>
      </c>
      <c r="C151" s="77" t="s">
        <v>11</v>
      </c>
      <c r="D151" s="42" t="s">
        <v>14</v>
      </c>
      <c r="E151" s="42">
        <v>2</v>
      </c>
      <c r="F151" s="348">
        <v>141</v>
      </c>
      <c r="G151" s="38"/>
      <c r="H151" s="44" t="s">
        <v>20</v>
      </c>
      <c r="I151" s="53" t="s">
        <v>378</v>
      </c>
      <c r="J151" s="38"/>
    </row>
    <row r="152" spans="1:10" x14ac:dyDescent="0.25">
      <c r="A152" s="42"/>
      <c r="B152" s="77" t="s">
        <v>21</v>
      </c>
      <c r="C152" s="77" t="s">
        <v>11</v>
      </c>
      <c r="D152" s="42" t="s">
        <v>14</v>
      </c>
      <c r="E152" s="42">
        <v>2</v>
      </c>
      <c r="F152" s="348">
        <v>113</v>
      </c>
      <c r="G152" s="38"/>
      <c r="H152" s="54" t="s">
        <v>22</v>
      </c>
      <c r="I152" s="53" t="s">
        <v>368</v>
      </c>
      <c r="J152" s="38"/>
    </row>
    <row r="153" spans="1:10" x14ac:dyDescent="0.25">
      <c r="A153" s="42"/>
      <c r="B153" s="44" t="s">
        <v>56</v>
      </c>
      <c r="C153" s="44" t="s">
        <v>46</v>
      </c>
      <c r="D153" s="42" t="s">
        <v>29</v>
      </c>
      <c r="E153" s="42">
        <v>2</v>
      </c>
      <c r="F153" s="348">
        <v>51</v>
      </c>
      <c r="G153" s="26"/>
      <c r="H153" s="39" t="s">
        <v>141</v>
      </c>
      <c r="I153" s="53" t="s">
        <v>379</v>
      </c>
      <c r="J153" s="38"/>
    </row>
    <row r="154" spans="1:10" x14ac:dyDescent="0.25">
      <c r="A154" s="42"/>
      <c r="B154" s="44"/>
      <c r="C154" s="44"/>
      <c r="D154" s="42"/>
      <c r="E154" s="42"/>
      <c r="F154" s="348"/>
      <c r="G154" s="26"/>
      <c r="H154" s="39"/>
      <c r="I154" s="53"/>
      <c r="J154" s="38"/>
    </row>
    <row r="155" spans="1:10" s="61" customFormat="1" ht="21" x14ac:dyDescent="0.4">
      <c r="A155" s="431" t="s">
        <v>354</v>
      </c>
      <c r="B155" s="431"/>
      <c r="C155" s="431"/>
      <c r="D155" s="13"/>
      <c r="E155" s="17"/>
      <c r="F155" s="18"/>
      <c r="G155" s="19"/>
      <c r="H155" s="48">
        <f>SUM(F158:F275)</f>
        <v>5066</v>
      </c>
      <c r="I155" s="14"/>
      <c r="J155" s="28"/>
    </row>
    <row r="156" spans="1:10" x14ac:dyDescent="0.3">
      <c r="A156" s="13"/>
      <c r="B156" s="23" t="s">
        <v>1</v>
      </c>
      <c r="C156" s="23" t="s">
        <v>2</v>
      </c>
      <c r="D156" s="24" t="s">
        <v>3</v>
      </c>
      <c r="E156" s="25" t="s">
        <v>4</v>
      </c>
      <c r="F156" s="26" t="s">
        <v>5</v>
      </c>
      <c r="G156" s="24" t="s">
        <v>6</v>
      </c>
      <c r="H156" s="27" t="s">
        <v>7</v>
      </c>
      <c r="I156" s="23" t="s">
        <v>8</v>
      </c>
      <c r="J156" s="28"/>
    </row>
    <row r="157" spans="1:10" x14ac:dyDescent="0.3">
      <c r="A157" s="13"/>
      <c r="B157" s="29" t="s">
        <v>10</v>
      </c>
      <c r="C157" s="30"/>
      <c r="D157" s="30"/>
      <c r="E157" s="31"/>
      <c r="F157" s="32"/>
      <c r="G157" s="49"/>
      <c r="H157" s="50"/>
      <c r="I157" s="33"/>
      <c r="J157" s="34"/>
    </row>
    <row r="158" spans="1:10" x14ac:dyDescent="0.25">
      <c r="A158" s="42"/>
      <c r="B158" s="44" t="s">
        <v>54</v>
      </c>
      <c r="C158" s="44" t="s">
        <v>44</v>
      </c>
      <c r="D158" s="42" t="s">
        <v>14</v>
      </c>
      <c r="E158" s="42">
        <v>2</v>
      </c>
      <c r="F158" s="348">
        <v>220</v>
      </c>
      <c r="G158" s="26"/>
      <c r="H158" s="39" t="s">
        <v>154</v>
      </c>
      <c r="I158" s="53" t="s">
        <v>378</v>
      </c>
      <c r="J158" s="38"/>
    </row>
    <row r="159" spans="1:10" x14ac:dyDescent="0.25">
      <c r="A159" s="42"/>
      <c r="B159" s="44" t="s">
        <v>55</v>
      </c>
      <c r="C159" s="44" t="s">
        <v>35</v>
      </c>
      <c r="D159" s="42" t="s">
        <v>14</v>
      </c>
      <c r="E159" s="42">
        <v>2</v>
      </c>
      <c r="F159" s="348">
        <v>189</v>
      </c>
      <c r="G159" s="26"/>
      <c r="H159" s="39" t="s">
        <v>155</v>
      </c>
      <c r="I159" s="53" t="s">
        <v>368</v>
      </c>
      <c r="J159" s="38"/>
    </row>
    <row r="160" spans="1:10" x14ac:dyDescent="0.25">
      <c r="A160" s="42"/>
      <c r="B160" s="44"/>
      <c r="C160" s="44"/>
      <c r="D160" s="42"/>
      <c r="E160" s="42"/>
      <c r="F160" s="348"/>
      <c r="G160" s="26"/>
      <c r="H160" s="39"/>
      <c r="I160" s="53"/>
      <c r="J160" s="38"/>
    </row>
    <row r="161" spans="1:10" s="61" customFormat="1" ht="21" x14ac:dyDescent="0.4">
      <c r="A161" s="431" t="s">
        <v>360</v>
      </c>
      <c r="B161" s="431"/>
      <c r="C161" s="431"/>
      <c r="D161" s="13"/>
      <c r="E161" s="17"/>
      <c r="F161" s="18"/>
      <c r="G161" s="19"/>
      <c r="H161" s="48">
        <f>SUM(F164:F275)</f>
        <v>4657</v>
      </c>
      <c r="I161" s="14"/>
      <c r="J161" s="28"/>
    </row>
    <row r="162" spans="1:10" x14ac:dyDescent="0.3">
      <c r="A162" s="13"/>
      <c r="B162" s="23" t="s">
        <v>1</v>
      </c>
      <c r="C162" s="23" t="s">
        <v>2</v>
      </c>
      <c r="D162" s="24" t="s">
        <v>3</v>
      </c>
      <c r="E162" s="25" t="s">
        <v>4</v>
      </c>
      <c r="F162" s="26" t="s">
        <v>5</v>
      </c>
      <c r="G162" s="24" t="s">
        <v>6</v>
      </c>
      <c r="H162" s="27" t="s">
        <v>7</v>
      </c>
      <c r="I162" s="23" t="s">
        <v>8</v>
      </c>
      <c r="J162" s="28"/>
    </row>
    <row r="163" spans="1:10" x14ac:dyDescent="0.3">
      <c r="A163" s="13"/>
      <c r="B163" s="29" t="s">
        <v>10</v>
      </c>
      <c r="C163" s="30"/>
      <c r="D163" s="30"/>
      <c r="E163" s="31"/>
      <c r="F163" s="32"/>
      <c r="G163" s="49"/>
      <c r="H163" s="50"/>
      <c r="I163" s="33"/>
      <c r="J163" s="34"/>
    </row>
    <row r="164" spans="1:10" ht="30" x14ac:dyDescent="0.25">
      <c r="A164" s="42"/>
      <c r="B164" s="44" t="s">
        <v>53</v>
      </c>
      <c r="C164" s="44" t="s">
        <v>26</v>
      </c>
      <c r="D164" s="42" t="s">
        <v>14</v>
      </c>
      <c r="E164" s="42">
        <v>2</v>
      </c>
      <c r="F164" s="348">
        <v>320</v>
      </c>
      <c r="G164" s="26"/>
      <c r="H164" s="39" t="s">
        <v>153</v>
      </c>
      <c r="I164" s="347" t="s">
        <v>376</v>
      </c>
      <c r="J164" s="38"/>
    </row>
    <row r="165" spans="1:10" x14ac:dyDescent="0.25">
      <c r="A165" s="42"/>
      <c r="B165" s="44"/>
      <c r="C165" s="44"/>
      <c r="D165" s="42"/>
      <c r="E165" s="42"/>
      <c r="F165" s="348"/>
      <c r="G165" s="26"/>
      <c r="H165" s="39"/>
      <c r="I165" s="53"/>
      <c r="J165" s="38"/>
    </row>
    <row r="166" spans="1:10" x14ac:dyDescent="0.25">
      <c r="A166" s="42"/>
      <c r="B166" s="44"/>
      <c r="C166" s="44"/>
      <c r="D166" s="42"/>
      <c r="E166" s="42"/>
      <c r="F166" s="348"/>
      <c r="G166" s="26"/>
      <c r="H166" s="39"/>
      <c r="I166" s="53"/>
      <c r="J166" s="38"/>
    </row>
    <row r="167" spans="1:10" ht="24.6" x14ac:dyDescent="0.4">
      <c r="A167" s="432" t="s">
        <v>384</v>
      </c>
      <c r="B167" s="433"/>
      <c r="C167" s="434"/>
      <c r="D167" s="6"/>
      <c r="E167" s="7"/>
      <c r="F167" s="8"/>
      <c r="G167" s="9"/>
      <c r="H167" s="10"/>
      <c r="I167" s="9"/>
      <c r="J167" s="10"/>
    </row>
    <row r="168" spans="1:10" x14ac:dyDescent="0.3">
      <c r="A168" s="11"/>
      <c r="B168" s="12"/>
      <c r="C168" s="12"/>
      <c r="D168" s="13"/>
      <c r="E168" s="13"/>
      <c r="F168" s="14"/>
      <c r="G168" s="13"/>
      <c r="H168" s="15"/>
      <c r="I168" s="16" t="s">
        <v>0</v>
      </c>
      <c r="J168" s="17"/>
    </row>
    <row r="169" spans="1:10" ht="21" x14ac:dyDescent="0.4">
      <c r="A169" s="426" t="s">
        <v>138</v>
      </c>
      <c r="B169" s="427"/>
      <c r="C169" s="428"/>
      <c r="D169" s="13"/>
      <c r="E169" s="17"/>
      <c r="F169" s="18"/>
      <c r="G169" s="19"/>
      <c r="H169" s="20"/>
      <c r="I169" s="21">
        <f>SUM(F170:F176)</f>
        <v>83</v>
      </c>
      <c r="J169" s="22"/>
    </row>
    <row r="170" spans="1:10" x14ac:dyDescent="0.3">
      <c r="A170" s="13"/>
      <c r="B170" s="23" t="s">
        <v>1</v>
      </c>
      <c r="C170" s="23" t="s">
        <v>2</v>
      </c>
      <c r="D170" s="24" t="s">
        <v>3</v>
      </c>
      <c r="E170" s="25" t="s">
        <v>4</v>
      </c>
      <c r="F170" s="26" t="s">
        <v>5</v>
      </c>
      <c r="G170" s="24" t="s">
        <v>6</v>
      </c>
      <c r="H170" s="27" t="s">
        <v>7</v>
      </c>
      <c r="I170" s="23" t="s">
        <v>8</v>
      </c>
      <c r="J170" s="28" t="s">
        <v>9</v>
      </c>
    </row>
    <row r="171" spans="1:10" x14ac:dyDescent="0.3">
      <c r="A171" s="13"/>
      <c r="B171" s="29" t="s">
        <v>10</v>
      </c>
      <c r="C171" s="30"/>
      <c r="D171" s="30"/>
      <c r="E171" s="31"/>
      <c r="F171" s="32"/>
      <c r="G171" s="30"/>
      <c r="H171" s="31"/>
      <c r="I171" s="33"/>
      <c r="J171" s="34"/>
    </row>
    <row r="172" spans="1:10" s="62" customFormat="1" x14ac:dyDescent="0.3">
      <c r="A172" s="37"/>
      <c r="B172" s="96" t="s">
        <v>81</v>
      </c>
      <c r="C172" s="45" t="s">
        <v>82</v>
      </c>
      <c r="D172" s="79" t="s">
        <v>29</v>
      </c>
      <c r="E172" s="79">
        <v>2</v>
      </c>
      <c r="F172" s="103">
        <v>83</v>
      </c>
      <c r="G172" s="37"/>
      <c r="H172" s="96" t="s">
        <v>137</v>
      </c>
      <c r="I172" s="106" t="s">
        <v>313</v>
      </c>
      <c r="J172" s="26"/>
    </row>
    <row r="173" spans="1:10" x14ac:dyDescent="0.25">
      <c r="A173" s="42"/>
      <c r="B173" s="96"/>
      <c r="C173" s="45"/>
      <c r="D173" s="79"/>
      <c r="E173" s="79"/>
      <c r="F173" s="103"/>
      <c r="G173" s="37"/>
      <c r="H173" s="19"/>
      <c r="I173" s="106"/>
      <c r="J173" s="38"/>
    </row>
    <row r="174" spans="1:10" x14ac:dyDescent="0.25">
      <c r="A174" s="42"/>
      <c r="B174" s="53"/>
      <c r="C174" s="53"/>
      <c r="D174" s="53"/>
      <c r="E174" s="13"/>
      <c r="F174" s="14"/>
      <c r="G174" s="53"/>
      <c r="H174" s="94"/>
      <c r="I174" s="13"/>
      <c r="J174" s="38"/>
    </row>
    <row r="175" spans="1:10" x14ac:dyDescent="0.25">
      <c r="A175" s="42"/>
      <c r="B175" s="53"/>
      <c r="C175" s="53"/>
      <c r="D175" s="53"/>
      <c r="E175" s="13"/>
      <c r="F175" s="14"/>
      <c r="G175" s="53"/>
      <c r="H175" s="94"/>
      <c r="I175" s="13"/>
      <c r="J175" s="38"/>
    </row>
    <row r="176" spans="1:10" x14ac:dyDescent="0.3">
      <c r="A176" s="11"/>
      <c r="B176" s="12"/>
      <c r="C176" s="12"/>
      <c r="D176" s="13"/>
      <c r="E176" s="13"/>
      <c r="F176" s="14"/>
      <c r="G176" s="13"/>
      <c r="H176" s="15"/>
      <c r="I176" s="16" t="s">
        <v>0</v>
      </c>
      <c r="J176" s="17"/>
    </row>
    <row r="177" spans="1:10" ht="21" x14ac:dyDescent="0.4">
      <c r="A177" s="426" t="s">
        <v>139</v>
      </c>
      <c r="B177" s="427"/>
      <c r="C177" s="428"/>
      <c r="D177" s="13"/>
      <c r="E177" s="17"/>
      <c r="F177" s="18"/>
      <c r="G177" s="19"/>
      <c r="H177" s="20"/>
      <c r="I177" s="21">
        <f>SUM(F180:F181)</f>
        <v>0</v>
      </c>
      <c r="J177" s="22"/>
    </row>
    <row r="178" spans="1:10" x14ac:dyDescent="0.3">
      <c r="A178" s="13"/>
      <c r="B178" s="23" t="s">
        <v>1</v>
      </c>
      <c r="C178" s="23" t="s">
        <v>2</v>
      </c>
      <c r="D178" s="24" t="s">
        <v>3</v>
      </c>
      <c r="E178" s="25" t="s">
        <v>4</v>
      </c>
      <c r="F178" s="26" t="s">
        <v>5</v>
      </c>
      <c r="G178" s="24" t="s">
        <v>6</v>
      </c>
      <c r="H178" s="27" t="s">
        <v>7</v>
      </c>
      <c r="I178" s="23" t="s">
        <v>8</v>
      </c>
      <c r="J178" s="28" t="s">
        <v>9</v>
      </c>
    </row>
    <row r="179" spans="1:10" x14ac:dyDescent="0.3">
      <c r="A179" s="13"/>
      <c r="B179" s="29" t="s">
        <v>10</v>
      </c>
      <c r="C179" s="30"/>
      <c r="D179" s="30"/>
      <c r="E179" s="31"/>
      <c r="F179" s="32"/>
      <c r="G179" s="30"/>
      <c r="H179" s="31"/>
      <c r="I179" s="33"/>
      <c r="J179" s="34"/>
    </row>
    <row r="180" spans="1:10" x14ac:dyDescent="0.25">
      <c r="A180" s="42"/>
      <c r="B180" s="106" t="s">
        <v>140</v>
      </c>
      <c r="C180" s="45"/>
      <c r="D180" s="79"/>
      <c r="E180" s="79"/>
      <c r="F180" s="38"/>
      <c r="G180" s="14"/>
      <c r="H180" s="107"/>
      <c r="I180" s="43"/>
      <c r="J180" s="38"/>
    </row>
    <row r="181" spans="1:10" x14ac:dyDescent="0.25">
      <c r="A181" s="42"/>
      <c r="B181" s="77"/>
      <c r="C181" s="45"/>
      <c r="D181" s="42"/>
      <c r="E181" s="42"/>
      <c r="F181" s="348"/>
      <c r="G181" s="26"/>
      <c r="H181" s="46"/>
      <c r="I181" s="106"/>
      <c r="J181" s="38"/>
    </row>
    <row r="182" spans="1:10" x14ac:dyDescent="0.3">
      <c r="A182" s="11"/>
      <c r="B182" s="12"/>
      <c r="C182" s="12"/>
      <c r="D182" s="13"/>
      <c r="E182" s="13"/>
      <c r="F182" s="14"/>
      <c r="G182" s="13"/>
      <c r="H182" s="47" t="s">
        <v>13</v>
      </c>
      <c r="I182" s="17"/>
      <c r="J182" s="17"/>
    </row>
    <row r="183" spans="1:10" s="61" customFormat="1" ht="21" x14ac:dyDescent="0.4">
      <c r="A183" s="431" t="s">
        <v>121</v>
      </c>
      <c r="B183" s="431"/>
      <c r="C183" s="431"/>
      <c r="D183" s="13"/>
      <c r="E183" s="17"/>
      <c r="F183" s="18"/>
      <c r="G183" s="19"/>
      <c r="H183" s="48">
        <f>SUM(F186:F188)</f>
        <v>164</v>
      </c>
      <c r="I183" s="14"/>
      <c r="J183" s="28"/>
    </row>
    <row r="184" spans="1:10" x14ac:dyDescent="0.3">
      <c r="A184" s="13"/>
      <c r="B184" s="23" t="s">
        <v>1</v>
      </c>
      <c r="C184" s="23" t="s">
        <v>2</v>
      </c>
      <c r="D184" s="24" t="s">
        <v>3</v>
      </c>
      <c r="E184" s="25" t="s">
        <v>4</v>
      </c>
      <c r="F184" s="26" t="s">
        <v>5</v>
      </c>
      <c r="G184" s="24" t="s">
        <v>6</v>
      </c>
      <c r="H184" s="27" t="s">
        <v>7</v>
      </c>
      <c r="I184" s="23" t="s">
        <v>8</v>
      </c>
      <c r="J184" s="28"/>
    </row>
    <row r="185" spans="1:10" x14ac:dyDescent="0.3">
      <c r="A185" s="13"/>
      <c r="B185" s="29" t="s">
        <v>10</v>
      </c>
      <c r="C185" s="30"/>
      <c r="D185" s="30"/>
      <c r="E185" s="31"/>
      <c r="F185" s="32"/>
      <c r="G185" s="49"/>
      <c r="H185" s="50"/>
      <c r="I185" s="33"/>
      <c r="J185" s="34"/>
    </row>
    <row r="186" spans="1:10" x14ac:dyDescent="0.25">
      <c r="A186" s="42"/>
      <c r="B186" s="44" t="s">
        <v>83</v>
      </c>
      <c r="C186" s="44" t="s">
        <v>84</v>
      </c>
      <c r="D186" s="42" t="s">
        <v>14</v>
      </c>
      <c r="E186" s="42">
        <v>2</v>
      </c>
      <c r="F186" s="348">
        <v>97</v>
      </c>
      <c r="G186" s="26"/>
      <c r="H186" s="39" t="s">
        <v>165</v>
      </c>
      <c r="I186" s="53" t="s">
        <v>389</v>
      </c>
      <c r="J186" s="38"/>
    </row>
    <row r="187" spans="1:10" x14ac:dyDescent="0.25">
      <c r="A187" s="42"/>
      <c r="B187" s="76" t="s">
        <v>85</v>
      </c>
      <c r="C187" s="76" t="s">
        <v>31</v>
      </c>
      <c r="D187" s="42" t="s">
        <v>14</v>
      </c>
      <c r="E187" s="42">
        <v>2</v>
      </c>
      <c r="F187" s="348">
        <v>67</v>
      </c>
      <c r="G187" s="26"/>
      <c r="H187" s="39" t="s">
        <v>166</v>
      </c>
      <c r="I187" s="53" t="s">
        <v>388</v>
      </c>
      <c r="J187" s="38"/>
    </row>
    <row r="188" spans="1:10" x14ac:dyDescent="0.25">
      <c r="A188" s="42"/>
      <c r="B188" s="44"/>
      <c r="C188" s="44"/>
      <c r="D188" s="42"/>
      <c r="E188" s="42"/>
      <c r="F188" s="348"/>
      <c r="G188" s="26"/>
      <c r="H188" s="39"/>
      <c r="I188" s="53"/>
      <c r="J188" s="38"/>
    </row>
    <row r="189" spans="1:10" s="61" customFormat="1" ht="21" x14ac:dyDescent="0.4">
      <c r="A189" s="431" t="s">
        <v>354</v>
      </c>
      <c r="B189" s="431"/>
      <c r="C189" s="431"/>
      <c r="D189" s="13"/>
      <c r="E189" s="17"/>
      <c r="F189" s="18"/>
      <c r="G189" s="19"/>
      <c r="H189" s="48">
        <f>SUM(F192:F302)</f>
        <v>7973</v>
      </c>
      <c r="I189" s="14"/>
      <c r="J189" s="28"/>
    </row>
    <row r="190" spans="1:10" x14ac:dyDescent="0.3">
      <c r="A190" s="13"/>
      <c r="B190" s="23" t="s">
        <v>1</v>
      </c>
      <c r="C190" s="23" t="s">
        <v>2</v>
      </c>
      <c r="D190" s="24" t="s">
        <v>3</v>
      </c>
      <c r="E190" s="25" t="s">
        <v>4</v>
      </c>
      <c r="F190" s="26" t="s">
        <v>5</v>
      </c>
      <c r="G190" s="24" t="s">
        <v>6</v>
      </c>
      <c r="H190" s="27" t="s">
        <v>7</v>
      </c>
      <c r="I190" s="23" t="s">
        <v>8</v>
      </c>
      <c r="J190" s="28"/>
    </row>
    <row r="191" spans="1:10" x14ac:dyDescent="0.3">
      <c r="A191" s="13"/>
      <c r="B191" s="29" t="s">
        <v>10</v>
      </c>
      <c r="C191" s="30"/>
      <c r="D191" s="30"/>
      <c r="E191" s="31"/>
      <c r="F191" s="32"/>
      <c r="G191" s="49"/>
      <c r="H191" s="50"/>
      <c r="I191" s="33"/>
      <c r="J191" s="34"/>
    </row>
    <row r="192" spans="1:10" ht="41.4" customHeight="1" x14ac:dyDescent="0.25">
      <c r="A192" s="42"/>
      <c r="B192" s="45" t="s">
        <v>96</v>
      </c>
      <c r="C192" s="45" t="s">
        <v>97</v>
      </c>
      <c r="D192" s="79" t="s">
        <v>3</v>
      </c>
      <c r="E192" s="79">
        <v>2</v>
      </c>
      <c r="F192" s="103">
        <v>324</v>
      </c>
      <c r="G192" s="37"/>
      <c r="H192" s="19" t="s">
        <v>351</v>
      </c>
      <c r="I192" s="449" t="s">
        <v>387</v>
      </c>
      <c r="J192" s="38"/>
    </row>
    <row r="193" spans="1:10" ht="38.4" customHeight="1" x14ac:dyDescent="0.25">
      <c r="A193" s="42"/>
      <c r="B193" s="45" t="s">
        <v>98</v>
      </c>
      <c r="C193" s="45" t="s">
        <v>33</v>
      </c>
      <c r="D193" s="79" t="s">
        <v>3</v>
      </c>
      <c r="E193" s="79">
        <v>2</v>
      </c>
      <c r="F193" s="103">
        <v>222</v>
      </c>
      <c r="G193" s="37"/>
      <c r="H193" s="19" t="s">
        <v>352</v>
      </c>
      <c r="I193" s="450"/>
      <c r="J193" s="38"/>
    </row>
    <row r="194" spans="1:10" ht="48" customHeight="1" x14ac:dyDescent="0.25">
      <c r="A194" s="42"/>
      <c r="B194" s="45" t="s">
        <v>99</v>
      </c>
      <c r="C194" s="45" t="s">
        <v>39</v>
      </c>
      <c r="D194" s="79" t="s">
        <v>3</v>
      </c>
      <c r="E194" s="79">
        <v>2</v>
      </c>
      <c r="F194" s="103">
        <v>231</v>
      </c>
      <c r="G194" s="37"/>
      <c r="H194" s="19" t="s">
        <v>117</v>
      </c>
      <c r="I194" s="451"/>
      <c r="J194" s="38"/>
    </row>
    <row r="195" spans="1:10" x14ac:dyDescent="0.25">
      <c r="A195" s="42"/>
      <c r="B195" s="44"/>
      <c r="C195" s="44"/>
      <c r="D195" s="42"/>
      <c r="E195" s="42"/>
      <c r="F195" s="348"/>
      <c r="G195" s="26"/>
      <c r="H195" s="39"/>
      <c r="I195" s="53"/>
      <c r="J195" s="38"/>
    </row>
    <row r="196" spans="1:10" x14ac:dyDescent="0.25">
      <c r="A196" s="42"/>
      <c r="B196" s="44"/>
      <c r="C196" s="44"/>
      <c r="D196" s="42"/>
      <c r="E196" s="42"/>
      <c r="F196" s="348"/>
      <c r="G196" s="26"/>
      <c r="H196" s="39"/>
      <c r="I196" s="53"/>
      <c r="J196" s="38"/>
    </row>
    <row r="197" spans="1:10" ht="24.6" x14ac:dyDescent="0.4">
      <c r="A197" s="432" t="s">
        <v>385</v>
      </c>
      <c r="B197" s="433"/>
      <c r="C197" s="434"/>
      <c r="D197" s="6"/>
      <c r="E197" s="7"/>
      <c r="F197" s="8"/>
      <c r="G197" s="9"/>
      <c r="H197" s="10"/>
      <c r="I197" s="9"/>
      <c r="J197" s="10"/>
    </row>
    <row r="198" spans="1:10" x14ac:dyDescent="0.3">
      <c r="A198" s="11"/>
      <c r="B198" s="12"/>
      <c r="C198" s="12"/>
      <c r="D198" s="13"/>
      <c r="E198" s="13"/>
      <c r="F198" s="14"/>
      <c r="G198" s="13"/>
      <c r="H198" s="15"/>
      <c r="I198" s="16" t="s">
        <v>0</v>
      </c>
      <c r="J198" s="17"/>
    </row>
    <row r="199" spans="1:10" ht="21" x14ac:dyDescent="0.4">
      <c r="A199" s="426" t="s">
        <v>138</v>
      </c>
      <c r="B199" s="427"/>
      <c r="C199" s="428"/>
      <c r="D199" s="13"/>
      <c r="E199" s="17"/>
      <c r="F199" s="18"/>
      <c r="G199" s="19"/>
      <c r="H199" s="20"/>
      <c r="I199" s="21">
        <f>SUM(F200:F206)</f>
        <v>166</v>
      </c>
      <c r="J199" s="22"/>
    </row>
    <row r="200" spans="1:10" x14ac:dyDescent="0.3">
      <c r="A200" s="13"/>
      <c r="B200" s="23" t="s">
        <v>1</v>
      </c>
      <c r="C200" s="23" t="s">
        <v>2</v>
      </c>
      <c r="D200" s="24" t="s">
        <v>3</v>
      </c>
      <c r="E200" s="25" t="s">
        <v>4</v>
      </c>
      <c r="F200" s="26" t="s">
        <v>5</v>
      </c>
      <c r="G200" s="24" t="s">
        <v>6</v>
      </c>
      <c r="H200" s="27" t="s">
        <v>7</v>
      </c>
      <c r="I200" s="23" t="s">
        <v>8</v>
      </c>
      <c r="J200" s="28" t="s">
        <v>9</v>
      </c>
    </row>
    <row r="201" spans="1:10" x14ac:dyDescent="0.3">
      <c r="A201" s="13"/>
      <c r="B201" s="29" t="s">
        <v>10</v>
      </c>
      <c r="C201" s="30"/>
      <c r="D201" s="30"/>
      <c r="E201" s="31"/>
      <c r="F201" s="32"/>
      <c r="G201" s="30"/>
      <c r="H201" s="31"/>
      <c r="I201" s="33"/>
      <c r="J201" s="34"/>
    </row>
    <row r="202" spans="1:10" s="62" customFormat="1" x14ac:dyDescent="0.25">
      <c r="A202" s="37"/>
      <c r="B202" s="44" t="s">
        <v>58</v>
      </c>
      <c r="C202" s="44" t="s">
        <v>17</v>
      </c>
      <c r="D202" s="42" t="s">
        <v>14</v>
      </c>
      <c r="E202" s="42">
        <v>2</v>
      </c>
      <c r="F202" s="346">
        <v>72</v>
      </c>
      <c r="G202" s="63"/>
      <c r="H202" s="39" t="s">
        <v>130</v>
      </c>
      <c r="I202" s="43" t="s">
        <v>63</v>
      </c>
      <c r="J202" s="26"/>
    </row>
    <row r="203" spans="1:10" x14ac:dyDescent="0.25">
      <c r="A203" s="42"/>
      <c r="B203" s="77" t="s">
        <v>59</v>
      </c>
      <c r="C203" s="54" t="s">
        <v>11</v>
      </c>
      <c r="D203" s="42" t="s">
        <v>14</v>
      </c>
      <c r="E203" s="42">
        <v>2</v>
      </c>
      <c r="F203" s="346">
        <v>94</v>
      </c>
      <c r="G203" s="63"/>
      <c r="H203" s="39" t="s">
        <v>131</v>
      </c>
      <c r="I203" s="43" t="s">
        <v>64</v>
      </c>
      <c r="J203" s="38"/>
    </row>
    <row r="204" spans="1:10" x14ac:dyDescent="0.25">
      <c r="A204" s="42"/>
      <c r="B204" s="53"/>
      <c r="C204" s="53"/>
      <c r="D204" s="53"/>
      <c r="E204" s="13"/>
      <c r="F204" s="14"/>
      <c r="G204" s="53"/>
      <c r="H204" s="94"/>
      <c r="I204" s="13"/>
      <c r="J204" s="38"/>
    </row>
    <row r="205" spans="1:10" x14ac:dyDescent="0.25">
      <c r="A205" s="42"/>
      <c r="B205" s="53"/>
      <c r="C205" s="53"/>
      <c r="D205" s="53"/>
      <c r="E205" s="13"/>
      <c r="F205" s="14"/>
      <c r="G205" s="53"/>
      <c r="H205" s="94"/>
      <c r="I205" s="13"/>
      <c r="J205" s="38"/>
    </row>
    <row r="206" spans="1:10" x14ac:dyDescent="0.3">
      <c r="A206" s="11"/>
      <c r="B206" s="12"/>
      <c r="C206" s="12"/>
      <c r="D206" s="13"/>
      <c r="E206" s="13"/>
      <c r="F206" s="14"/>
      <c r="G206" s="13"/>
      <c r="H206" s="15"/>
      <c r="I206" s="16" t="s">
        <v>0</v>
      </c>
      <c r="J206" s="17"/>
    </row>
    <row r="207" spans="1:10" ht="21" x14ac:dyDescent="0.4">
      <c r="A207" s="426" t="s">
        <v>139</v>
      </c>
      <c r="B207" s="427"/>
      <c r="C207" s="428"/>
      <c r="D207" s="13"/>
      <c r="E207" s="17"/>
      <c r="F207" s="18"/>
      <c r="G207" s="19"/>
      <c r="H207" s="20"/>
      <c r="I207" s="21">
        <f>SUM(F210:F211)</f>
        <v>0</v>
      </c>
      <c r="J207" s="22"/>
    </row>
    <row r="208" spans="1:10" x14ac:dyDescent="0.3">
      <c r="A208" s="13"/>
      <c r="B208" s="23" t="s">
        <v>1</v>
      </c>
      <c r="C208" s="23" t="s">
        <v>2</v>
      </c>
      <c r="D208" s="24" t="s">
        <v>3</v>
      </c>
      <c r="E208" s="25" t="s">
        <v>4</v>
      </c>
      <c r="F208" s="26" t="s">
        <v>5</v>
      </c>
      <c r="G208" s="24" t="s">
        <v>6</v>
      </c>
      <c r="H208" s="27" t="s">
        <v>7</v>
      </c>
      <c r="I208" s="23" t="s">
        <v>8</v>
      </c>
      <c r="J208" s="28" t="s">
        <v>9</v>
      </c>
    </row>
    <row r="209" spans="1:10" x14ac:dyDescent="0.3">
      <c r="A209" s="13"/>
      <c r="B209" s="29" t="s">
        <v>10</v>
      </c>
      <c r="C209" s="30"/>
      <c r="D209" s="30"/>
      <c r="E209" s="31"/>
      <c r="F209" s="32"/>
      <c r="G209" s="30"/>
      <c r="H209" s="31"/>
      <c r="I209" s="33"/>
      <c r="J209" s="34"/>
    </row>
    <row r="210" spans="1:10" x14ac:dyDescent="0.25">
      <c r="A210" s="42"/>
      <c r="B210" s="106" t="s">
        <v>140</v>
      </c>
      <c r="C210" s="45"/>
      <c r="D210" s="79"/>
      <c r="E210" s="79"/>
      <c r="F210" s="38"/>
      <c r="G210" s="14"/>
      <c r="H210" s="107"/>
      <c r="I210" s="43"/>
      <c r="J210" s="38"/>
    </row>
    <row r="211" spans="1:10" x14ac:dyDescent="0.25">
      <c r="A211" s="42"/>
      <c r="B211" s="77"/>
      <c r="C211" s="45"/>
      <c r="D211" s="42"/>
      <c r="E211" s="42"/>
      <c r="F211" s="348"/>
      <c r="G211" s="26"/>
      <c r="H211" s="46"/>
      <c r="I211" s="106"/>
      <c r="J211" s="38"/>
    </row>
    <row r="212" spans="1:10" x14ac:dyDescent="0.3">
      <c r="A212" s="11"/>
      <c r="B212" s="12"/>
      <c r="C212" s="12"/>
      <c r="D212" s="13"/>
      <c r="E212" s="13"/>
      <c r="F212" s="14"/>
      <c r="G212" s="13"/>
      <c r="H212" s="47" t="s">
        <v>13</v>
      </c>
      <c r="I212" s="17"/>
      <c r="J212" s="17"/>
    </row>
    <row r="213" spans="1:10" s="61" customFormat="1" ht="21" x14ac:dyDescent="0.4">
      <c r="A213" s="431" t="s">
        <v>121</v>
      </c>
      <c r="B213" s="431"/>
      <c r="C213" s="431"/>
      <c r="D213" s="13"/>
      <c r="E213" s="17"/>
      <c r="F213" s="18"/>
      <c r="G213" s="19"/>
      <c r="H213" s="48">
        <f>SUM(F216:F218)</f>
        <v>479</v>
      </c>
      <c r="I213" s="14"/>
      <c r="J213" s="28"/>
    </row>
    <row r="214" spans="1:10" x14ac:dyDescent="0.3">
      <c r="A214" s="13"/>
      <c r="B214" s="23" t="s">
        <v>1</v>
      </c>
      <c r="C214" s="23" t="s">
        <v>2</v>
      </c>
      <c r="D214" s="24" t="s">
        <v>3</v>
      </c>
      <c r="E214" s="25" t="s">
        <v>4</v>
      </c>
      <c r="F214" s="26" t="s">
        <v>5</v>
      </c>
      <c r="G214" s="24" t="s">
        <v>6</v>
      </c>
      <c r="H214" s="27" t="s">
        <v>7</v>
      </c>
      <c r="I214" s="23" t="s">
        <v>8</v>
      </c>
      <c r="J214" s="28"/>
    </row>
    <row r="215" spans="1:10" x14ac:dyDescent="0.3">
      <c r="A215" s="13"/>
      <c r="B215" s="29" t="s">
        <v>10</v>
      </c>
      <c r="C215" s="30"/>
      <c r="D215" s="30"/>
      <c r="E215" s="31"/>
      <c r="F215" s="32"/>
      <c r="G215" s="49"/>
      <c r="H215" s="50"/>
      <c r="I215" s="33"/>
      <c r="J215" s="34"/>
    </row>
    <row r="216" spans="1:10" x14ac:dyDescent="0.25">
      <c r="A216" s="42"/>
      <c r="B216" s="44" t="s">
        <v>43</v>
      </c>
      <c r="C216" s="44" t="s">
        <v>44</v>
      </c>
      <c r="D216" s="42" t="s">
        <v>14</v>
      </c>
      <c r="E216" s="42">
        <v>2</v>
      </c>
      <c r="F216" s="348">
        <v>251</v>
      </c>
      <c r="G216" s="64"/>
      <c r="H216" s="43" t="s">
        <v>147</v>
      </c>
      <c r="I216" s="53" t="s">
        <v>390</v>
      </c>
      <c r="J216" s="38"/>
    </row>
    <row r="217" spans="1:10" x14ac:dyDescent="0.25">
      <c r="A217" s="42"/>
      <c r="B217" s="44" t="s">
        <v>45</v>
      </c>
      <c r="C217" s="44" t="s">
        <v>46</v>
      </c>
      <c r="D217" s="37" t="s">
        <v>14</v>
      </c>
      <c r="E217" s="37">
        <v>2</v>
      </c>
      <c r="F217" s="348">
        <v>92</v>
      </c>
      <c r="G217" s="64"/>
      <c r="H217" s="43" t="s">
        <v>148</v>
      </c>
      <c r="I217" s="53" t="s">
        <v>391</v>
      </c>
      <c r="J217" s="38"/>
    </row>
    <row r="218" spans="1:10" x14ac:dyDescent="0.25">
      <c r="A218" s="42"/>
      <c r="B218" s="44" t="s">
        <v>52</v>
      </c>
      <c r="C218" s="44" t="s">
        <v>11</v>
      </c>
      <c r="D218" s="42" t="s">
        <v>14</v>
      </c>
      <c r="E218" s="42">
        <v>2</v>
      </c>
      <c r="F218" s="348">
        <v>136</v>
      </c>
      <c r="G218" s="26"/>
      <c r="H218" s="39" t="s">
        <v>152</v>
      </c>
      <c r="I218" s="53" t="s">
        <v>368</v>
      </c>
      <c r="J218" s="38"/>
    </row>
    <row r="219" spans="1:10" x14ac:dyDescent="0.25">
      <c r="A219" s="42"/>
      <c r="B219" s="44"/>
      <c r="C219" s="44"/>
      <c r="D219" s="42"/>
      <c r="E219" s="42"/>
      <c r="F219" s="348"/>
      <c r="G219" s="26"/>
      <c r="H219" s="39"/>
      <c r="I219" s="53"/>
      <c r="J219" s="38"/>
    </row>
    <row r="220" spans="1:10" s="61" customFormat="1" ht="21" x14ac:dyDescent="0.4">
      <c r="A220" s="431" t="s">
        <v>354</v>
      </c>
      <c r="B220" s="431"/>
      <c r="C220" s="431"/>
      <c r="D220" s="13"/>
      <c r="E220" s="17"/>
      <c r="F220" s="18"/>
      <c r="G220" s="19"/>
      <c r="H220" s="48">
        <f>SUM(F223:F338)</f>
        <v>6899</v>
      </c>
      <c r="I220" s="14"/>
      <c r="J220" s="28"/>
    </row>
    <row r="221" spans="1:10" x14ac:dyDescent="0.3">
      <c r="A221" s="13"/>
      <c r="B221" s="23" t="s">
        <v>1</v>
      </c>
      <c r="C221" s="23" t="s">
        <v>2</v>
      </c>
      <c r="D221" s="24" t="s">
        <v>3</v>
      </c>
      <c r="E221" s="25" t="s">
        <v>4</v>
      </c>
      <c r="F221" s="26" t="s">
        <v>5</v>
      </c>
      <c r="G221" s="24" t="s">
        <v>6</v>
      </c>
      <c r="H221" s="27" t="s">
        <v>7</v>
      </c>
      <c r="I221" s="23" t="s">
        <v>8</v>
      </c>
      <c r="J221" s="28"/>
    </row>
    <row r="222" spans="1:10" x14ac:dyDescent="0.3">
      <c r="A222" s="13"/>
      <c r="B222" s="29" t="s">
        <v>10</v>
      </c>
      <c r="C222" s="30"/>
      <c r="D222" s="30"/>
      <c r="E222" s="31"/>
      <c r="F222" s="32"/>
      <c r="G222" s="49"/>
      <c r="H222" s="50"/>
      <c r="I222" s="33"/>
      <c r="J222" s="34"/>
    </row>
    <row r="223" spans="1:10" x14ac:dyDescent="0.25">
      <c r="A223" s="42"/>
      <c r="B223" s="44" t="s">
        <v>140</v>
      </c>
      <c r="C223" s="44"/>
      <c r="D223" s="42"/>
      <c r="E223" s="42"/>
      <c r="F223" s="348"/>
      <c r="G223" s="26"/>
      <c r="H223" s="39"/>
      <c r="I223" s="347"/>
      <c r="J223" s="38"/>
    </row>
    <row r="224" spans="1:10" x14ac:dyDescent="0.25">
      <c r="A224" s="42"/>
      <c r="B224" s="44"/>
      <c r="C224" s="44"/>
      <c r="D224" s="42"/>
      <c r="E224" s="42"/>
      <c r="F224" s="348"/>
      <c r="G224" s="26"/>
      <c r="H224" s="39"/>
      <c r="I224" s="53"/>
      <c r="J224" s="38"/>
    </row>
    <row r="225" spans="1:10" x14ac:dyDescent="0.25">
      <c r="A225" s="42"/>
      <c r="B225" s="44"/>
      <c r="C225" s="44"/>
      <c r="D225" s="42"/>
      <c r="E225" s="42"/>
      <c r="F225" s="348"/>
      <c r="G225" s="26"/>
      <c r="H225" s="39"/>
      <c r="I225" s="53"/>
      <c r="J225" s="38"/>
    </row>
    <row r="226" spans="1:10" x14ac:dyDescent="0.25">
      <c r="A226" s="42"/>
      <c r="B226" s="44"/>
      <c r="C226" s="44"/>
      <c r="D226" s="42"/>
      <c r="E226" s="42"/>
      <c r="F226" s="348"/>
      <c r="G226" s="26"/>
      <c r="H226" s="39"/>
      <c r="I226" s="53"/>
      <c r="J226" s="38"/>
    </row>
    <row r="227" spans="1:10" s="61" customFormat="1" ht="21" x14ac:dyDescent="0.4">
      <c r="A227" s="431" t="s">
        <v>360</v>
      </c>
      <c r="B227" s="431"/>
      <c r="C227" s="431"/>
      <c r="D227" s="13"/>
      <c r="E227" s="17"/>
      <c r="F227" s="18"/>
      <c r="G227" s="19"/>
      <c r="H227" s="48">
        <f>SUM(F230:F338)</f>
        <v>6899</v>
      </c>
      <c r="I227" s="14"/>
      <c r="J227" s="28"/>
    </row>
    <row r="228" spans="1:10" x14ac:dyDescent="0.3">
      <c r="A228" s="13"/>
      <c r="B228" s="23" t="s">
        <v>1</v>
      </c>
      <c r="C228" s="23" t="s">
        <v>2</v>
      </c>
      <c r="D228" s="24" t="s">
        <v>3</v>
      </c>
      <c r="E228" s="25" t="s">
        <v>4</v>
      </c>
      <c r="F228" s="26" t="s">
        <v>5</v>
      </c>
      <c r="G228" s="24" t="s">
        <v>6</v>
      </c>
      <c r="H228" s="27" t="s">
        <v>7</v>
      </c>
      <c r="I228" s="23" t="s">
        <v>8</v>
      </c>
      <c r="J228" s="28"/>
    </row>
    <row r="229" spans="1:10" x14ac:dyDescent="0.3">
      <c r="A229" s="13"/>
      <c r="B229" s="29" t="s">
        <v>10</v>
      </c>
      <c r="C229" s="30"/>
      <c r="D229" s="30"/>
      <c r="E229" s="31"/>
      <c r="F229" s="32"/>
      <c r="G229" s="49"/>
      <c r="H229" s="50"/>
      <c r="I229" s="33"/>
      <c r="J229" s="34"/>
    </row>
    <row r="230" spans="1:10" x14ac:dyDescent="0.25">
      <c r="A230" s="42"/>
      <c r="B230" s="44" t="s">
        <v>140</v>
      </c>
      <c r="C230" s="44"/>
      <c r="D230" s="42"/>
      <c r="E230" s="42"/>
      <c r="F230" s="348"/>
      <c r="G230" s="26"/>
      <c r="H230" s="39"/>
      <c r="I230" s="53"/>
      <c r="J230" s="38"/>
    </row>
    <row r="231" spans="1:10" x14ac:dyDescent="0.25">
      <c r="A231" s="42"/>
      <c r="B231" s="44"/>
      <c r="C231" s="44"/>
      <c r="D231" s="42"/>
      <c r="E231" s="42"/>
      <c r="F231" s="348"/>
      <c r="G231" s="26"/>
      <c r="H231" s="39"/>
      <c r="I231" s="53"/>
      <c r="J231" s="38"/>
    </row>
    <row r="232" spans="1:10" x14ac:dyDescent="0.25">
      <c r="A232" s="42"/>
      <c r="B232" s="44"/>
      <c r="C232" s="44"/>
      <c r="D232" s="42"/>
      <c r="E232" s="42"/>
      <c r="F232" s="348"/>
      <c r="G232" s="26"/>
      <c r="H232" s="39"/>
      <c r="I232" s="53"/>
      <c r="J232" s="38"/>
    </row>
    <row r="233" spans="1:10" x14ac:dyDescent="0.25">
      <c r="A233" s="42"/>
      <c r="B233" s="44"/>
      <c r="C233" s="44"/>
      <c r="D233" s="42"/>
      <c r="E233" s="42"/>
      <c r="F233" s="348"/>
      <c r="G233" s="26"/>
      <c r="H233" s="39"/>
      <c r="I233" s="53"/>
      <c r="J233" s="38"/>
    </row>
    <row r="234" spans="1:10" ht="24.6" x14ac:dyDescent="0.4">
      <c r="A234" s="432" t="s">
        <v>386</v>
      </c>
      <c r="B234" s="433"/>
      <c r="C234" s="434"/>
      <c r="D234" s="6"/>
      <c r="E234" s="7"/>
      <c r="F234" s="8"/>
      <c r="G234" s="9"/>
      <c r="H234" s="10"/>
      <c r="I234" s="9"/>
      <c r="J234" s="10"/>
    </row>
    <row r="235" spans="1:10" x14ac:dyDescent="0.3">
      <c r="A235" s="11"/>
      <c r="B235" s="12"/>
      <c r="C235" s="12"/>
      <c r="D235" s="13"/>
      <c r="E235" s="13"/>
      <c r="F235" s="14"/>
      <c r="G235" s="13"/>
      <c r="H235" s="15"/>
      <c r="I235" s="16" t="s">
        <v>0</v>
      </c>
      <c r="J235" s="17"/>
    </row>
    <row r="236" spans="1:10" ht="21" x14ac:dyDescent="0.4">
      <c r="A236" s="426" t="s">
        <v>138</v>
      </c>
      <c r="B236" s="427"/>
      <c r="C236" s="428"/>
      <c r="D236" s="13"/>
      <c r="E236" s="17"/>
      <c r="F236" s="18"/>
      <c r="G236" s="19"/>
      <c r="H236" s="20"/>
      <c r="I236" s="21">
        <f>SUM(F237:F243)</f>
        <v>980</v>
      </c>
      <c r="J236" s="22"/>
    </row>
    <row r="237" spans="1:10" x14ac:dyDescent="0.3">
      <c r="A237" s="13"/>
      <c r="B237" s="23" t="s">
        <v>1</v>
      </c>
      <c r="C237" s="23" t="s">
        <v>2</v>
      </c>
      <c r="D237" s="24" t="s">
        <v>3</v>
      </c>
      <c r="E237" s="25" t="s">
        <v>4</v>
      </c>
      <c r="F237" s="26" t="s">
        <v>5</v>
      </c>
      <c r="G237" s="24" t="s">
        <v>6</v>
      </c>
      <c r="H237" s="27" t="s">
        <v>7</v>
      </c>
      <c r="I237" s="23" t="s">
        <v>8</v>
      </c>
      <c r="J237" s="28" t="s">
        <v>9</v>
      </c>
    </row>
    <row r="238" spans="1:10" x14ac:dyDescent="0.3">
      <c r="A238" s="13"/>
      <c r="B238" s="29" t="s">
        <v>10</v>
      </c>
      <c r="C238" s="30"/>
      <c r="D238" s="30"/>
      <c r="E238" s="31"/>
      <c r="F238" s="32"/>
      <c r="G238" s="30"/>
      <c r="H238" s="31"/>
      <c r="I238" s="33"/>
      <c r="J238" s="34"/>
    </row>
    <row r="239" spans="1:10" s="62" customFormat="1" x14ac:dyDescent="0.3">
      <c r="A239" s="37"/>
      <c r="B239" s="44" t="s">
        <v>27</v>
      </c>
      <c r="C239" s="39" t="s">
        <v>28</v>
      </c>
      <c r="D239" s="37" t="s">
        <v>29</v>
      </c>
      <c r="E239" s="37">
        <v>3</v>
      </c>
      <c r="F239" s="38">
        <v>70</v>
      </c>
      <c r="G239" s="14"/>
      <c r="H239" s="39" t="s">
        <v>122</v>
      </c>
      <c r="I239" s="44" t="s">
        <v>316</v>
      </c>
      <c r="J239" s="26"/>
    </row>
    <row r="240" spans="1:10" ht="90" x14ac:dyDescent="0.25">
      <c r="A240" s="42"/>
      <c r="B240" s="96" t="s">
        <v>357</v>
      </c>
      <c r="C240" s="45" t="s">
        <v>93</v>
      </c>
      <c r="D240" s="79" t="s">
        <v>29</v>
      </c>
      <c r="E240" s="79">
        <v>2</v>
      </c>
      <c r="F240" s="103">
        <f>654+256</f>
        <v>910</v>
      </c>
      <c r="G240" s="37"/>
      <c r="H240" s="19" t="s">
        <v>311</v>
      </c>
      <c r="I240" s="106" t="s">
        <v>317</v>
      </c>
      <c r="J240" s="38" t="s">
        <v>314</v>
      </c>
    </row>
    <row r="241" spans="1:10" x14ac:dyDescent="0.25">
      <c r="A241" s="42"/>
      <c r="B241" s="53"/>
      <c r="C241" s="53"/>
      <c r="D241" s="53"/>
      <c r="E241" s="13"/>
      <c r="F241" s="14"/>
      <c r="G241" s="53"/>
      <c r="H241" s="94"/>
      <c r="I241" s="13"/>
      <c r="J241" s="38"/>
    </row>
    <row r="242" spans="1:10" x14ac:dyDescent="0.25">
      <c r="A242" s="42"/>
      <c r="B242" s="53"/>
      <c r="C242" s="53"/>
      <c r="D242" s="53"/>
      <c r="E242" s="13"/>
      <c r="F242" s="14"/>
      <c r="G242" s="53"/>
      <c r="H242" s="94"/>
      <c r="I242" s="13"/>
      <c r="J242" s="38"/>
    </row>
    <row r="243" spans="1:10" x14ac:dyDescent="0.3">
      <c r="A243" s="11"/>
      <c r="B243" s="12"/>
      <c r="C243" s="12"/>
      <c r="D243" s="13"/>
      <c r="E243" s="13"/>
      <c r="F243" s="14"/>
      <c r="G243" s="13"/>
      <c r="H243" s="15"/>
      <c r="I243" s="16" t="s">
        <v>0</v>
      </c>
      <c r="J243" s="17"/>
    </row>
    <row r="244" spans="1:10" ht="21" x14ac:dyDescent="0.4">
      <c r="A244" s="426" t="s">
        <v>139</v>
      </c>
      <c r="B244" s="427"/>
      <c r="C244" s="428"/>
      <c r="D244" s="13"/>
      <c r="E244" s="17"/>
      <c r="F244" s="18"/>
      <c r="G244" s="19"/>
      <c r="H244" s="20"/>
      <c r="I244" s="21">
        <f>SUM(F247:F249)</f>
        <v>405</v>
      </c>
      <c r="J244" s="22"/>
    </row>
    <row r="245" spans="1:10" x14ac:dyDescent="0.3">
      <c r="A245" s="13"/>
      <c r="B245" s="23" t="s">
        <v>1</v>
      </c>
      <c r="C245" s="23" t="s">
        <v>2</v>
      </c>
      <c r="D245" s="24" t="s">
        <v>3</v>
      </c>
      <c r="E245" s="25" t="s">
        <v>4</v>
      </c>
      <c r="F245" s="26" t="s">
        <v>5</v>
      </c>
      <c r="G245" s="24" t="s">
        <v>6</v>
      </c>
      <c r="H245" s="27" t="s">
        <v>7</v>
      </c>
      <c r="I245" s="23" t="s">
        <v>8</v>
      </c>
      <c r="J245" s="28" t="s">
        <v>9</v>
      </c>
    </row>
    <row r="246" spans="1:10" x14ac:dyDescent="0.3">
      <c r="A246" s="13"/>
      <c r="B246" s="29" t="s">
        <v>10</v>
      </c>
      <c r="C246" s="30"/>
      <c r="D246" s="30"/>
      <c r="E246" s="31"/>
      <c r="F246" s="32"/>
      <c r="G246" s="30"/>
      <c r="H246" s="31"/>
      <c r="I246" s="33"/>
      <c r="J246" s="34"/>
    </row>
    <row r="247" spans="1:10" ht="45.6" x14ac:dyDescent="0.25">
      <c r="A247" s="42"/>
      <c r="B247" s="106" t="s">
        <v>358</v>
      </c>
      <c r="C247" s="45" t="s">
        <v>93</v>
      </c>
      <c r="D247" s="79" t="s">
        <v>29</v>
      </c>
      <c r="E247" s="79">
        <v>2</v>
      </c>
      <c r="F247" s="38"/>
      <c r="G247" s="14"/>
      <c r="H247" s="107" t="s">
        <v>311</v>
      </c>
      <c r="I247" s="43"/>
      <c r="J247" s="38" t="s">
        <v>314</v>
      </c>
    </row>
    <row r="248" spans="1:10" ht="30" x14ac:dyDescent="0.25">
      <c r="A248" s="42"/>
      <c r="B248" s="77" t="s">
        <v>25</v>
      </c>
      <c r="C248" s="45" t="s">
        <v>26</v>
      </c>
      <c r="D248" s="42" t="s">
        <v>14</v>
      </c>
      <c r="E248" s="42">
        <v>2</v>
      </c>
      <c r="F248" s="348">
        <v>405</v>
      </c>
      <c r="G248" s="26"/>
      <c r="H248" s="46" t="s">
        <v>146</v>
      </c>
      <c r="I248" s="106" t="s">
        <v>356</v>
      </c>
      <c r="J248" s="38"/>
    </row>
    <row r="249" spans="1:10" x14ac:dyDescent="0.25">
      <c r="A249" s="42"/>
      <c r="B249" s="44"/>
      <c r="C249" s="44"/>
      <c r="D249" s="37"/>
      <c r="E249" s="37"/>
      <c r="F249" s="38"/>
      <c r="G249" s="14"/>
      <c r="H249" s="39"/>
      <c r="I249" s="43"/>
      <c r="J249" s="38"/>
    </row>
    <row r="250" spans="1:10" x14ac:dyDescent="0.3">
      <c r="A250" s="11"/>
      <c r="B250" s="12"/>
      <c r="C250" s="12"/>
      <c r="D250" s="13"/>
      <c r="E250" s="13"/>
      <c r="F250" s="14"/>
      <c r="G250" s="13"/>
      <c r="H250" s="47" t="s">
        <v>13</v>
      </c>
      <c r="I250" s="17"/>
      <c r="J250" s="17"/>
    </row>
    <row r="251" spans="1:10" s="61" customFormat="1" ht="21" x14ac:dyDescent="0.4">
      <c r="A251" s="431" t="s">
        <v>121</v>
      </c>
      <c r="B251" s="431"/>
      <c r="C251" s="431"/>
      <c r="D251" s="13"/>
      <c r="E251" s="17"/>
      <c r="F251" s="18"/>
      <c r="G251" s="19"/>
      <c r="H251" s="48">
        <f>SUM(F254:F256)</f>
        <v>433</v>
      </c>
      <c r="I251" s="14"/>
      <c r="J251" s="28"/>
    </row>
    <row r="252" spans="1:10" x14ac:dyDescent="0.3">
      <c r="A252" s="13"/>
      <c r="B252" s="23" t="s">
        <v>1</v>
      </c>
      <c r="C252" s="23" t="s">
        <v>2</v>
      </c>
      <c r="D252" s="24" t="s">
        <v>3</v>
      </c>
      <c r="E252" s="25" t="s">
        <v>4</v>
      </c>
      <c r="F252" s="26" t="s">
        <v>5</v>
      </c>
      <c r="G252" s="24" t="s">
        <v>6</v>
      </c>
      <c r="H252" s="27" t="s">
        <v>7</v>
      </c>
      <c r="I252" s="23" t="s">
        <v>8</v>
      </c>
      <c r="J252" s="28"/>
    </row>
    <row r="253" spans="1:10" x14ac:dyDescent="0.3">
      <c r="A253" s="13"/>
      <c r="B253" s="29" t="s">
        <v>10</v>
      </c>
      <c r="C253" s="30"/>
      <c r="D253" s="30"/>
      <c r="E253" s="31"/>
      <c r="F253" s="32"/>
      <c r="G253" s="49"/>
      <c r="H253" s="50"/>
      <c r="I253" s="33"/>
      <c r="J253" s="34"/>
    </row>
    <row r="254" spans="1:10" x14ac:dyDescent="0.25">
      <c r="A254" s="42"/>
      <c r="B254" s="76" t="s">
        <v>23</v>
      </c>
      <c r="C254" s="76" t="s">
        <v>24</v>
      </c>
      <c r="D254" s="42" t="s">
        <v>14</v>
      </c>
      <c r="E254" s="42">
        <v>2</v>
      </c>
      <c r="F254" s="348">
        <v>120</v>
      </c>
      <c r="G254" s="26"/>
      <c r="H254" s="39" t="s">
        <v>142</v>
      </c>
      <c r="I254" s="53" t="s">
        <v>368</v>
      </c>
      <c r="J254" s="38"/>
    </row>
    <row r="255" spans="1:10" x14ac:dyDescent="0.25">
      <c r="A255" s="42"/>
      <c r="B255" s="44" t="s">
        <v>30</v>
      </c>
      <c r="C255" s="44" t="s">
        <v>31</v>
      </c>
      <c r="D255" s="42" t="s">
        <v>14</v>
      </c>
      <c r="E255" s="42">
        <v>2</v>
      </c>
      <c r="F255" s="348">
        <v>61</v>
      </c>
      <c r="G255" s="26"/>
      <c r="H255" s="39" t="s">
        <v>144</v>
      </c>
      <c r="I255" s="53" t="s">
        <v>391</v>
      </c>
      <c r="J255" s="38"/>
    </row>
    <row r="256" spans="1:10" x14ac:dyDescent="0.25">
      <c r="A256" s="42"/>
      <c r="B256" s="44" t="s">
        <v>32</v>
      </c>
      <c r="C256" s="44" t="s">
        <v>33</v>
      </c>
      <c r="D256" s="42" t="s">
        <v>14</v>
      </c>
      <c r="E256" s="42">
        <v>2</v>
      </c>
      <c r="F256" s="348">
        <v>252</v>
      </c>
      <c r="G256" s="26"/>
      <c r="H256" s="39" t="s">
        <v>143</v>
      </c>
      <c r="I256" s="53" t="s">
        <v>375</v>
      </c>
      <c r="J256" s="38"/>
    </row>
    <row r="257" spans="1:10" x14ac:dyDescent="0.25">
      <c r="A257" s="42"/>
      <c r="B257" s="44"/>
      <c r="C257" s="44"/>
      <c r="D257" s="42"/>
      <c r="E257" s="42"/>
      <c r="F257" s="348"/>
      <c r="G257" s="26"/>
      <c r="H257" s="39"/>
      <c r="I257" s="53"/>
      <c r="J257" s="38"/>
    </row>
    <row r="258" spans="1:10" s="61" customFormat="1" ht="21" x14ac:dyDescent="0.4">
      <c r="A258" s="431" t="s">
        <v>354</v>
      </c>
      <c r="B258" s="431"/>
      <c r="C258" s="431"/>
      <c r="D258" s="13"/>
      <c r="E258" s="17"/>
      <c r="F258" s="18"/>
      <c r="G258" s="19"/>
      <c r="H258" s="48">
        <f>SUM(F261:F375)</f>
        <v>5081</v>
      </c>
      <c r="I258" s="14"/>
      <c r="J258" s="28"/>
    </row>
    <row r="259" spans="1:10" x14ac:dyDescent="0.3">
      <c r="A259" s="13"/>
      <c r="B259" s="23" t="s">
        <v>1</v>
      </c>
      <c r="C259" s="23" t="s">
        <v>2</v>
      </c>
      <c r="D259" s="24" t="s">
        <v>3</v>
      </c>
      <c r="E259" s="25" t="s">
        <v>4</v>
      </c>
      <c r="F259" s="26" t="s">
        <v>5</v>
      </c>
      <c r="G259" s="24" t="s">
        <v>6</v>
      </c>
      <c r="H259" s="27" t="s">
        <v>7</v>
      </c>
      <c r="I259" s="23" t="s">
        <v>8</v>
      </c>
      <c r="J259" s="28"/>
    </row>
    <row r="260" spans="1:10" x14ac:dyDescent="0.3">
      <c r="A260" s="13"/>
      <c r="B260" s="29" t="s">
        <v>10</v>
      </c>
      <c r="C260" s="30"/>
      <c r="D260" s="30"/>
      <c r="E260" s="31"/>
      <c r="F260" s="32"/>
      <c r="G260" s="49"/>
      <c r="H260" s="50"/>
      <c r="I260" s="33"/>
      <c r="J260" s="34"/>
    </row>
    <row r="261" spans="1:10" x14ac:dyDescent="0.25">
      <c r="A261" s="42"/>
      <c r="B261" s="51" t="s">
        <v>71</v>
      </c>
      <c r="C261" s="52" t="s">
        <v>11</v>
      </c>
      <c r="D261" s="37" t="s">
        <v>14</v>
      </c>
      <c r="E261" s="37">
        <v>2</v>
      </c>
      <c r="F261" s="348">
        <v>144</v>
      </c>
      <c r="G261" s="26"/>
      <c r="H261" s="39" t="s">
        <v>161</v>
      </c>
      <c r="I261" s="347" t="s">
        <v>392</v>
      </c>
      <c r="J261" s="38"/>
    </row>
    <row r="262" spans="1:10" x14ac:dyDescent="0.25">
      <c r="A262" s="42"/>
      <c r="B262" s="51" t="s">
        <v>72</v>
      </c>
      <c r="C262" s="52" t="s">
        <v>11</v>
      </c>
      <c r="D262" s="37" t="s">
        <v>14</v>
      </c>
      <c r="E262" s="37">
        <v>2</v>
      </c>
      <c r="F262" s="348">
        <v>110</v>
      </c>
      <c r="G262" s="26"/>
      <c r="H262" s="39" t="s">
        <v>162</v>
      </c>
      <c r="I262" s="53" t="s">
        <v>393</v>
      </c>
      <c r="J262" s="38"/>
    </row>
    <row r="263" spans="1:10" x14ac:dyDescent="0.25">
      <c r="A263" s="42"/>
      <c r="B263" s="51" t="s">
        <v>69</v>
      </c>
      <c r="C263" s="52" t="s">
        <v>17</v>
      </c>
      <c r="D263" s="37" t="s">
        <v>14</v>
      </c>
      <c r="E263" s="37">
        <v>2</v>
      </c>
      <c r="F263" s="348">
        <v>87</v>
      </c>
      <c r="G263" s="26"/>
      <c r="H263" s="39" t="s">
        <v>159</v>
      </c>
      <c r="I263" s="53" t="s">
        <v>391</v>
      </c>
      <c r="J263" s="38"/>
    </row>
    <row r="264" spans="1:10" x14ac:dyDescent="0.25">
      <c r="A264" s="42"/>
      <c r="B264" s="44" t="s">
        <v>77</v>
      </c>
      <c r="C264" s="44" t="s">
        <v>35</v>
      </c>
      <c r="D264" s="42" t="s">
        <v>14</v>
      </c>
      <c r="E264" s="42">
        <v>2</v>
      </c>
      <c r="F264" s="348">
        <v>166</v>
      </c>
      <c r="G264" s="26"/>
      <c r="H264" s="39" t="s">
        <v>155</v>
      </c>
      <c r="I264" s="53" t="s">
        <v>378</v>
      </c>
      <c r="J264" s="38"/>
    </row>
    <row r="265" spans="1:10" x14ac:dyDescent="0.25">
      <c r="A265" s="42"/>
      <c r="B265" s="44"/>
      <c r="C265" s="44"/>
      <c r="D265" s="42"/>
      <c r="E265" s="42"/>
      <c r="F265" s="348"/>
      <c r="G265" s="26"/>
      <c r="H265" s="39"/>
      <c r="I265" s="53"/>
      <c r="J265" s="38"/>
    </row>
    <row r="266" spans="1:10" s="61" customFormat="1" ht="21" x14ac:dyDescent="0.4">
      <c r="A266" s="431" t="s">
        <v>360</v>
      </c>
      <c r="B266" s="431"/>
      <c r="C266" s="431"/>
      <c r="D266" s="13"/>
      <c r="E266" s="17"/>
      <c r="F266" s="18"/>
      <c r="G266" s="19"/>
      <c r="H266" s="48">
        <f>SUM(F269:F375)</f>
        <v>4574</v>
      </c>
      <c r="I266" s="14"/>
      <c r="J266" s="28"/>
    </row>
    <row r="267" spans="1:10" x14ac:dyDescent="0.3">
      <c r="A267" s="13"/>
      <c r="B267" s="23" t="s">
        <v>1</v>
      </c>
      <c r="C267" s="23" t="s">
        <v>2</v>
      </c>
      <c r="D267" s="24" t="s">
        <v>3</v>
      </c>
      <c r="E267" s="25" t="s">
        <v>4</v>
      </c>
      <c r="F267" s="26" t="s">
        <v>5</v>
      </c>
      <c r="G267" s="24" t="s">
        <v>6</v>
      </c>
      <c r="H267" s="27" t="s">
        <v>7</v>
      </c>
      <c r="I267" s="23" t="s">
        <v>8</v>
      </c>
      <c r="J267" s="28"/>
    </row>
    <row r="268" spans="1:10" x14ac:dyDescent="0.3">
      <c r="A268" s="13"/>
      <c r="B268" s="29" t="s">
        <v>10</v>
      </c>
      <c r="C268" s="30"/>
      <c r="D268" s="30"/>
      <c r="E268" s="31"/>
      <c r="F268" s="32"/>
      <c r="G268" s="49"/>
      <c r="H268" s="50"/>
      <c r="I268" s="33"/>
      <c r="J268" s="34"/>
    </row>
    <row r="269" spans="1:10" x14ac:dyDescent="0.25">
      <c r="A269" s="42"/>
      <c r="B269" s="44" t="s">
        <v>38</v>
      </c>
      <c r="C269" s="44" t="s">
        <v>39</v>
      </c>
      <c r="D269" s="42" t="s">
        <v>14</v>
      </c>
      <c r="E269" s="42">
        <v>2</v>
      </c>
      <c r="F269" s="348">
        <v>209</v>
      </c>
      <c r="G269" s="26"/>
      <c r="H269" s="39" t="s">
        <v>305</v>
      </c>
      <c r="I269" s="53" t="s">
        <v>373</v>
      </c>
      <c r="J269" s="38"/>
    </row>
    <row r="270" spans="1:10" x14ac:dyDescent="0.25">
      <c r="A270" s="42"/>
      <c r="B270" s="44" t="s">
        <v>36</v>
      </c>
      <c r="C270" s="44" t="s">
        <v>37</v>
      </c>
      <c r="D270" s="42" t="s">
        <v>14</v>
      </c>
      <c r="E270" s="42">
        <v>2</v>
      </c>
      <c r="F270" s="348">
        <f>80+54</f>
        <v>134</v>
      </c>
      <c r="G270" s="26"/>
      <c r="H270" s="39" t="s">
        <v>305</v>
      </c>
      <c r="I270" s="53" t="s">
        <v>368</v>
      </c>
      <c r="J270" s="38"/>
    </row>
    <row r="271" spans="1:10" x14ac:dyDescent="0.25">
      <c r="A271" s="42"/>
      <c r="B271" s="44"/>
      <c r="C271" s="44"/>
      <c r="D271" s="42"/>
      <c r="E271" s="42"/>
      <c r="F271" s="348"/>
      <c r="G271" s="26"/>
      <c r="H271" s="39"/>
      <c r="I271" s="53"/>
      <c r="J271" s="38"/>
    </row>
    <row r="272" spans="1:10" x14ac:dyDescent="0.25">
      <c r="A272" s="42"/>
      <c r="B272" s="44"/>
      <c r="C272" s="44"/>
      <c r="D272" s="42"/>
      <c r="E272" s="42"/>
      <c r="F272" s="348"/>
      <c r="G272" s="26"/>
      <c r="H272" s="39"/>
      <c r="I272" s="53"/>
      <c r="J272" s="38"/>
    </row>
    <row r="274" spans="1:10" ht="21" x14ac:dyDescent="0.4">
      <c r="A274" s="65" t="s">
        <v>363</v>
      </c>
      <c r="B274" s="66"/>
      <c r="C274" s="66"/>
      <c r="D274" s="67"/>
      <c r="E274" s="68"/>
      <c r="F274" s="69"/>
      <c r="G274" s="70"/>
      <c r="H274" s="71"/>
      <c r="I274" s="71"/>
      <c r="J274" s="71"/>
    </row>
    <row r="276" spans="1:10" x14ac:dyDescent="0.3">
      <c r="A276" s="13"/>
      <c r="B276" s="44"/>
      <c r="C276" s="44"/>
      <c r="D276" s="42"/>
      <c r="E276" s="42"/>
      <c r="F276" s="38"/>
      <c r="G276" s="26"/>
      <c r="H276" s="39"/>
      <c r="I276" s="53"/>
      <c r="J276" s="28"/>
    </row>
    <row r="277" spans="1:10" ht="24.6" x14ac:dyDescent="0.4">
      <c r="A277" s="423" t="s">
        <v>364</v>
      </c>
      <c r="B277" s="424"/>
      <c r="C277" s="425"/>
      <c r="D277" s="83"/>
      <c r="E277" s="84"/>
      <c r="F277" s="85"/>
      <c r="G277" s="86"/>
      <c r="H277" s="87"/>
      <c r="I277" s="86"/>
      <c r="J277" s="87"/>
    </row>
    <row r="278" spans="1:10" x14ac:dyDescent="0.3">
      <c r="A278" s="11"/>
      <c r="B278" s="12"/>
      <c r="C278" s="12"/>
      <c r="D278" s="13"/>
      <c r="E278" s="13"/>
      <c r="F278" s="14"/>
      <c r="G278" s="13"/>
      <c r="H278" s="15"/>
      <c r="I278" s="16" t="s">
        <v>0</v>
      </c>
      <c r="J278" s="17"/>
    </row>
    <row r="279" spans="1:10" ht="21" x14ac:dyDescent="0.4">
      <c r="A279" s="426" t="s">
        <v>355</v>
      </c>
      <c r="B279" s="427"/>
      <c r="C279" s="428"/>
      <c r="D279" s="13"/>
      <c r="E279" s="17"/>
      <c r="F279" s="18"/>
      <c r="G279" s="19"/>
      <c r="H279" s="20"/>
      <c r="I279" s="21">
        <f>SUM(F282:F284)</f>
        <v>95</v>
      </c>
      <c r="J279" s="22"/>
    </row>
    <row r="280" spans="1:10" x14ac:dyDescent="0.3">
      <c r="A280" s="13"/>
      <c r="B280" s="23" t="s">
        <v>1</v>
      </c>
      <c r="C280" s="23" t="s">
        <v>2</v>
      </c>
      <c r="D280" s="24" t="s">
        <v>3</v>
      </c>
      <c r="E280" s="25" t="s">
        <v>4</v>
      </c>
      <c r="F280" s="26" t="s">
        <v>5</v>
      </c>
      <c r="G280" s="24" t="s">
        <v>6</v>
      </c>
      <c r="H280" s="27" t="s">
        <v>7</v>
      </c>
      <c r="I280" s="23" t="s">
        <v>8</v>
      </c>
      <c r="J280" s="28" t="s">
        <v>9</v>
      </c>
    </row>
    <row r="281" spans="1:10" x14ac:dyDescent="0.3">
      <c r="A281" s="13"/>
      <c r="B281" s="29" t="s">
        <v>10</v>
      </c>
      <c r="C281" s="30"/>
      <c r="D281" s="30"/>
      <c r="E281" s="31"/>
      <c r="F281" s="32"/>
      <c r="G281" s="30"/>
      <c r="H281" s="31"/>
      <c r="I281" s="33"/>
      <c r="J281" s="34"/>
    </row>
    <row r="282" spans="1:10" x14ac:dyDescent="0.3">
      <c r="A282" s="13"/>
      <c r="B282" s="54" t="s">
        <v>90</v>
      </c>
      <c r="C282" s="77" t="s">
        <v>46</v>
      </c>
      <c r="D282" s="42" t="s">
        <v>14</v>
      </c>
      <c r="E282" s="42">
        <v>2</v>
      </c>
      <c r="F282" s="26">
        <v>95</v>
      </c>
      <c r="G282" s="26"/>
      <c r="H282" s="39" t="s">
        <v>141</v>
      </c>
      <c r="I282" s="40" t="s">
        <v>315</v>
      </c>
      <c r="J282" s="72"/>
    </row>
    <row r="283" spans="1:10" x14ac:dyDescent="0.3">
      <c r="A283" s="13"/>
      <c r="B283" s="54"/>
      <c r="C283" s="77"/>
      <c r="D283" s="42"/>
      <c r="E283" s="42"/>
      <c r="F283" s="26"/>
      <c r="G283" s="26"/>
      <c r="H283" s="39"/>
      <c r="I283" s="40"/>
      <c r="J283" s="72"/>
    </row>
    <row r="284" spans="1:10" x14ac:dyDescent="0.3">
      <c r="A284" s="13"/>
      <c r="B284" s="54"/>
      <c r="C284" s="77"/>
      <c r="D284" s="42"/>
      <c r="E284" s="42"/>
      <c r="F284" s="26"/>
      <c r="G284" s="26"/>
      <c r="H284" s="39"/>
      <c r="I284" s="40"/>
      <c r="J284" s="72"/>
    </row>
    <row r="286" spans="1:10" ht="21" x14ac:dyDescent="0.4">
      <c r="A286" s="65" t="s">
        <v>365</v>
      </c>
      <c r="B286" s="66"/>
      <c r="C286" s="66"/>
      <c r="D286" s="67"/>
      <c r="E286" s="68"/>
      <c r="F286" s="69"/>
      <c r="G286" s="70"/>
      <c r="H286" s="71"/>
      <c r="I286" s="71"/>
      <c r="J286" s="71"/>
    </row>
    <row r="288" spans="1:10" ht="24.6" x14ac:dyDescent="0.4">
      <c r="A288" s="429" t="s">
        <v>91</v>
      </c>
      <c r="B288" s="429"/>
      <c r="C288" s="429"/>
      <c r="D288" s="78"/>
      <c r="E288" s="78"/>
      <c r="F288" s="78"/>
      <c r="G288" s="78"/>
      <c r="H288" s="78"/>
      <c r="I288" s="78"/>
      <c r="J288" s="78"/>
    </row>
    <row r="289" spans="1:10" x14ac:dyDescent="0.3">
      <c r="A289" s="13"/>
      <c r="B289" s="23" t="s">
        <v>1</v>
      </c>
      <c r="C289" s="23" t="s">
        <v>2</v>
      </c>
      <c r="D289" s="23" t="s">
        <v>3</v>
      </c>
      <c r="E289" s="27" t="s">
        <v>4</v>
      </c>
      <c r="F289" s="14" t="s">
        <v>5</v>
      </c>
      <c r="G289" s="23" t="s">
        <v>6</v>
      </c>
      <c r="H289" s="27" t="s">
        <v>7</v>
      </c>
      <c r="I289" s="23"/>
      <c r="J289" s="28"/>
    </row>
    <row r="290" spans="1:10" x14ac:dyDescent="0.3">
      <c r="A290" s="13"/>
      <c r="B290" s="29" t="s">
        <v>10</v>
      </c>
      <c r="C290" s="30"/>
      <c r="D290" s="30"/>
      <c r="E290" s="31"/>
      <c r="F290" s="32"/>
      <c r="G290" s="49"/>
      <c r="H290" s="50"/>
      <c r="I290" s="33"/>
      <c r="J290" s="34"/>
    </row>
    <row r="291" spans="1:10" x14ac:dyDescent="0.25">
      <c r="A291" s="78">
        <v>1</v>
      </c>
      <c r="B291" s="45" t="s">
        <v>92</v>
      </c>
      <c r="C291" s="45" t="s">
        <v>93</v>
      </c>
      <c r="D291" s="78" t="s">
        <v>29</v>
      </c>
      <c r="E291" s="78">
        <v>2</v>
      </c>
      <c r="F291" s="103">
        <f>654+256</f>
        <v>910</v>
      </c>
      <c r="G291" s="37"/>
      <c r="H291" s="19" t="s">
        <v>119</v>
      </c>
      <c r="I291" s="88" t="s">
        <v>94</v>
      </c>
      <c r="J291" s="20" t="s">
        <v>95</v>
      </c>
    </row>
    <row r="292" spans="1:10" x14ac:dyDescent="0.25">
      <c r="A292" s="78">
        <v>2</v>
      </c>
      <c r="B292" s="45" t="s">
        <v>96</v>
      </c>
      <c r="C292" s="45" t="s">
        <v>97</v>
      </c>
      <c r="D292" s="78" t="s">
        <v>29</v>
      </c>
      <c r="E292" s="78">
        <v>2</v>
      </c>
      <c r="F292" s="103">
        <v>324</v>
      </c>
      <c r="G292" s="13"/>
      <c r="H292" s="19" t="s">
        <v>351</v>
      </c>
      <c r="I292" s="88" t="s">
        <v>94</v>
      </c>
      <c r="J292" s="20" t="s">
        <v>95</v>
      </c>
    </row>
    <row r="293" spans="1:10" x14ac:dyDescent="0.25">
      <c r="A293" s="78">
        <v>3</v>
      </c>
      <c r="B293" s="45" t="s">
        <v>98</v>
      </c>
      <c r="C293" s="45" t="s">
        <v>33</v>
      </c>
      <c r="D293" s="78" t="s">
        <v>29</v>
      </c>
      <c r="E293" s="78">
        <v>2</v>
      </c>
      <c r="F293" s="103">
        <v>222</v>
      </c>
      <c r="G293" s="37"/>
      <c r="H293" s="19" t="s">
        <v>352</v>
      </c>
      <c r="I293" s="88" t="s">
        <v>94</v>
      </c>
      <c r="J293" s="20" t="s">
        <v>95</v>
      </c>
    </row>
    <row r="294" spans="1:10" x14ac:dyDescent="0.25">
      <c r="A294" s="78">
        <v>4</v>
      </c>
      <c r="B294" s="45" t="s">
        <v>99</v>
      </c>
      <c r="C294" s="45" t="s">
        <v>39</v>
      </c>
      <c r="D294" s="78" t="s">
        <v>29</v>
      </c>
      <c r="E294" s="78">
        <v>2</v>
      </c>
      <c r="F294" s="103">
        <v>231</v>
      </c>
      <c r="G294" s="37"/>
      <c r="H294" s="19" t="s">
        <v>117</v>
      </c>
      <c r="I294" s="88" t="s">
        <v>94</v>
      </c>
      <c r="J294" s="20" t="s">
        <v>95</v>
      </c>
    </row>
    <row r="295" spans="1:10" x14ac:dyDescent="0.25">
      <c r="A295" s="78">
        <v>5</v>
      </c>
      <c r="B295" s="45" t="s">
        <v>100</v>
      </c>
      <c r="C295" s="45" t="s">
        <v>93</v>
      </c>
      <c r="D295" s="78" t="s">
        <v>14</v>
      </c>
      <c r="E295" s="78">
        <v>2</v>
      </c>
      <c r="F295" s="103">
        <f>624+228</f>
        <v>852</v>
      </c>
      <c r="G295" s="37"/>
      <c r="H295" s="19" t="s">
        <v>118</v>
      </c>
      <c r="I295" s="88" t="s">
        <v>94</v>
      </c>
      <c r="J295" s="20" t="s">
        <v>95</v>
      </c>
    </row>
    <row r="296" spans="1:10" x14ac:dyDescent="0.25">
      <c r="A296" s="78">
        <v>6</v>
      </c>
      <c r="B296" s="45" t="s">
        <v>120</v>
      </c>
      <c r="C296" s="45" t="s">
        <v>93</v>
      </c>
      <c r="D296" s="78" t="s">
        <v>14</v>
      </c>
      <c r="E296" s="78">
        <v>2</v>
      </c>
      <c r="F296" s="103">
        <f>342+474</f>
        <v>816</v>
      </c>
      <c r="G296" s="37"/>
      <c r="H296" s="19" t="s">
        <v>353</v>
      </c>
      <c r="I296" s="88" t="s">
        <v>94</v>
      </c>
      <c r="J296" s="20" t="s">
        <v>95</v>
      </c>
    </row>
    <row r="297" spans="1:10" x14ac:dyDescent="0.25">
      <c r="A297" s="78">
        <v>7</v>
      </c>
      <c r="B297" s="45" t="s">
        <v>47</v>
      </c>
      <c r="C297" s="45" t="s">
        <v>48</v>
      </c>
      <c r="D297" s="78" t="s">
        <v>14</v>
      </c>
      <c r="E297" s="78">
        <v>2</v>
      </c>
      <c r="F297" s="103">
        <f>127+131</f>
        <v>258</v>
      </c>
      <c r="G297" s="37"/>
      <c r="H297" s="19" t="s">
        <v>101</v>
      </c>
      <c r="I297" s="88" t="s">
        <v>94</v>
      </c>
      <c r="J297" s="20" t="s">
        <v>95</v>
      </c>
    </row>
    <row r="298" spans="1:10" x14ac:dyDescent="0.3">
      <c r="A298" s="89"/>
      <c r="B298" s="90"/>
      <c r="C298" s="91"/>
      <c r="D298" s="89"/>
      <c r="E298" s="89"/>
      <c r="F298" s="14"/>
      <c r="G298" s="89"/>
      <c r="H298" s="92"/>
      <c r="I298" s="93"/>
      <c r="J298" s="28"/>
    </row>
    <row r="299" spans="1:10" ht="24.6" x14ac:dyDescent="0.4">
      <c r="A299" s="430" t="s">
        <v>102</v>
      </c>
      <c r="B299" s="430"/>
      <c r="C299" s="430"/>
      <c r="D299" s="98"/>
      <c r="E299" s="99"/>
      <c r="F299" s="32"/>
      <c r="G299" s="98"/>
      <c r="H299" s="108"/>
      <c r="I299" s="99"/>
      <c r="J299" s="100"/>
    </row>
    <row r="300" spans="1:10" x14ac:dyDescent="0.25">
      <c r="A300" s="95"/>
      <c r="B300" s="45"/>
      <c r="C300" s="45"/>
      <c r="D300" s="37"/>
      <c r="E300" s="37"/>
      <c r="F300" s="14"/>
      <c r="G300" s="37"/>
      <c r="H300" s="45"/>
      <c r="I300" s="96"/>
      <c r="J300" s="20"/>
    </row>
    <row r="301" spans="1:10" x14ac:dyDescent="0.3">
      <c r="A301" s="97"/>
      <c r="B301" s="98" t="s">
        <v>103</v>
      </c>
      <c r="C301" s="98" t="s">
        <v>104</v>
      </c>
      <c r="D301" s="99" t="s">
        <v>14</v>
      </c>
      <c r="E301" s="99">
        <v>2</v>
      </c>
      <c r="F301" s="32">
        <v>92</v>
      </c>
      <c r="G301" s="100" t="s">
        <v>105</v>
      </c>
      <c r="H301" s="80" t="s">
        <v>106</v>
      </c>
      <c r="I301" s="101"/>
      <c r="J301" s="100" t="s">
        <v>107</v>
      </c>
    </row>
    <row r="302" spans="1:10" x14ac:dyDescent="0.3">
      <c r="A302" s="98"/>
      <c r="B302" s="80" t="s">
        <v>59</v>
      </c>
      <c r="C302" s="81" t="s">
        <v>11</v>
      </c>
      <c r="D302" s="80"/>
      <c r="E302" s="82"/>
      <c r="F302" s="32">
        <v>83</v>
      </c>
      <c r="G302" s="102" t="s">
        <v>15</v>
      </c>
      <c r="H302" s="98" t="s">
        <v>106</v>
      </c>
      <c r="I302" s="99"/>
      <c r="J302" s="100" t="s">
        <v>107</v>
      </c>
    </row>
    <row r="303" spans="1:10" x14ac:dyDescent="0.3">
      <c r="A303" s="53">
        <v>1</v>
      </c>
      <c r="B303" s="45" t="s">
        <v>108</v>
      </c>
      <c r="C303" s="96" t="s">
        <v>44</v>
      </c>
      <c r="D303" s="39"/>
      <c r="E303" s="37"/>
      <c r="F303" s="14">
        <v>121</v>
      </c>
      <c r="G303" s="28" t="s">
        <v>109</v>
      </c>
      <c r="H303" s="104" t="s">
        <v>110</v>
      </c>
      <c r="I303" s="13"/>
      <c r="J303" s="100" t="s">
        <v>107</v>
      </c>
    </row>
    <row r="304" spans="1:10" x14ac:dyDescent="0.3">
      <c r="A304" s="53">
        <v>2</v>
      </c>
      <c r="B304" s="45" t="s">
        <v>111</v>
      </c>
      <c r="C304" s="96" t="s">
        <v>46</v>
      </c>
      <c r="D304" s="46"/>
      <c r="E304" s="39"/>
      <c r="F304" s="14">
        <v>20</v>
      </c>
      <c r="G304" s="103" t="s">
        <v>12</v>
      </c>
      <c r="H304" s="104" t="s">
        <v>112</v>
      </c>
      <c r="I304" s="94"/>
      <c r="J304" s="100" t="s">
        <v>107</v>
      </c>
    </row>
    <row r="305" spans="1:10" x14ac:dyDescent="0.3">
      <c r="A305" s="53">
        <v>3</v>
      </c>
      <c r="B305" s="45" t="s">
        <v>113</v>
      </c>
      <c r="C305" s="96" t="s">
        <v>114</v>
      </c>
      <c r="D305" s="37"/>
      <c r="E305" s="37"/>
      <c r="F305" s="14">
        <v>207</v>
      </c>
      <c r="G305" s="103" t="s">
        <v>115</v>
      </c>
      <c r="H305" s="53" t="s">
        <v>116</v>
      </c>
      <c r="I305" s="13"/>
      <c r="J305" s="100" t="s">
        <v>107</v>
      </c>
    </row>
    <row r="306" spans="1:10" x14ac:dyDescent="0.25">
      <c r="A306" s="53"/>
      <c r="B306" s="45"/>
      <c r="C306" s="96"/>
      <c r="D306" s="37"/>
      <c r="E306" s="37"/>
      <c r="F306" s="14"/>
      <c r="G306" s="103"/>
      <c r="H306" s="53"/>
      <c r="I306" s="13"/>
      <c r="J306" s="103"/>
    </row>
  </sheetData>
  <mergeCells count="49">
    <mergeCell ref="A167:C167"/>
    <mergeCell ref="A169:C169"/>
    <mergeCell ref="A177:C177"/>
    <mergeCell ref="A183:C183"/>
    <mergeCell ref="A189:C189"/>
    <mergeCell ref="A133:C133"/>
    <mergeCell ref="A141:C141"/>
    <mergeCell ref="A147:C147"/>
    <mergeCell ref="A155:C155"/>
    <mergeCell ref="A161:C161"/>
    <mergeCell ref="A111:C111"/>
    <mergeCell ref="A118:C118"/>
    <mergeCell ref="A125:C125"/>
    <mergeCell ref="A131:C131"/>
    <mergeCell ref="A85:C85"/>
    <mergeCell ref="A91:C91"/>
    <mergeCell ref="A101:C101"/>
    <mergeCell ref="A103:C103"/>
    <mergeCell ref="A61:C61"/>
    <mergeCell ref="A69:C69"/>
    <mergeCell ref="A71:C71"/>
    <mergeCell ref="A79:C79"/>
    <mergeCell ref="A6:C6"/>
    <mergeCell ref="A8:C8"/>
    <mergeCell ref="A15:C15"/>
    <mergeCell ref="A21:C21"/>
    <mergeCell ref="A27:C27"/>
    <mergeCell ref="A34:C34"/>
    <mergeCell ref="A40:C40"/>
    <mergeCell ref="A42:C42"/>
    <mergeCell ref="A49:C49"/>
    <mergeCell ref="A55:C55"/>
    <mergeCell ref="A236:C236"/>
    <mergeCell ref="A227:C227"/>
    <mergeCell ref="A197:C197"/>
    <mergeCell ref="A199:C199"/>
    <mergeCell ref="A207:C207"/>
    <mergeCell ref="A213:C213"/>
    <mergeCell ref="A220:C220"/>
    <mergeCell ref="A234:C234"/>
    <mergeCell ref="A258:C258"/>
    <mergeCell ref="A266:C266"/>
    <mergeCell ref="A277:C277"/>
    <mergeCell ref="A279:C279"/>
    <mergeCell ref="A288:C288"/>
    <mergeCell ref="A299:C299"/>
    <mergeCell ref="A244:C244"/>
    <mergeCell ref="A251:C251"/>
    <mergeCell ref="I192:I194"/>
  </mergeCells>
  <dataValidations disablePrompts="1" count="1">
    <dataValidation type="list" allowBlank="1" showInputMessage="1" showErrorMessage="1" sqref="I65498 WVQ983002 WLU983002 WBY983002 VSC983002 VIG983002 UYK983002 UOO983002 UES983002 TUW983002 TLA983002 TBE983002 SRI983002 SHM983002 RXQ983002 RNU983002 RDY983002 QUC983002 QKG983002 QAK983002 PQO983002 PGS983002 OWW983002 ONA983002 ODE983002 NTI983002 NJM983002 MZQ983002 MPU983002 MFY983002 LWC983002 LMG983002 LCK983002 KSO983002 KIS983002 JYW983002 JPA983002 JFE983002 IVI983002 ILM983002 IBQ983002 HRU983002 HHY983002 GYC983002 GOG983002 GEK983002 FUO983002 FKS983002 FAW983002 ERA983002 EHE983002 DXI983002 DNM983002 DDQ983002 CTU983002 CJY983002 CAC983002 BQG983002 BGK983002 AWO983002 AMS983002 ACW983002 TA983002 JE983002 I983002 WVQ917466 WLU917466 WBY917466 VSC917466 VIG917466 UYK917466 UOO917466 UES917466 TUW917466 TLA917466 TBE917466 SRI917466 SHM917466 RXQ917466 RNU917466 RDY917466 QUC917466 QKG917466 QAK917466 PQO917466 PGS917466 OWW917466 ONA917466 ODE917466 NTI917466 NJM917466 MZQ917466 MPU917466 MFY917466 LWC917466 LMG917466 LCK917466 KSO917466 KIS917466 JYW917466 JPA917466 JFE917466 IVI917466 ILM917466 IBQ917466 HRU917466 HHY917466 GYC917466 GOG917466 GEK917466 FUO917466 FKS917466 FAW917466 ERA917466 EHE917466 DXI917466 DNM917466 DDQ917466 CTU917466 CJY917466 CAC917466 BQG917466 BGK917466 AWO917466 AMS917466 ACW917466 TA917466 JE917466 I917466 WVQ851930 WLU851930 WBY851930 VSC851930 VIG851930 UYK851930 UOO851930 UES851930 TUW851930 TLA851930 TBE851930 SRI851930 SHM851930 RXQ851930 RNU851930 RDY851930 QUC851930 QKG851930 QAK851930 PQO851930 PGS851930 OWW851930 ONA851930 ODE851930 NTI851930 NJM851930 MZQ851930 MPU851930 MFY851930 LWC851930 LMG851930 LCK851930 KSO851930 KIS851930 JYW851930 JPA851930 JFE851930 IVI851930 ILM851930 IBQ851930 HRU851930 HHY851930 GYC851930 GOG851930 GEK851930 FUO851930 FKS851930 FAW851930 ERA851930 EHE851930 DXI851930 DNM851930 DDQ851930 CTU851930 CJY851930 CAC851930 BQG851930 BGK851930 AWO851930 AMS851930 ACW851930 TA851930 JE851930 I851930 WVQ786394 WLU786394 WBY786394 VSC786394 VIG786394 UYK786394 UOO786394 UES786394 TUW786394 TLA786394 TBE786394 SRI786394 SHM786394 RXQ786394 RNU786394 RDY786394 QUC786394 QKG786394 QAK786394 PQO786394 PGS786394 OWW786394 ONA786394 ODE786394 NTI786394 NJM786394 MZQ786394 MPU786394 MFY786394 LWC786394 LMG786394 LCK786394 KSO786394 KIS786394 JYW786394 JPA786394 JFE786394 IVI786394 ILM786394 IBQ786394 HRU786394 HHY786394 GYC786394 GOG786394 GEK786394 FUO786394 FKS786394 FAW786394 ERA786394 EHE786394 DXI786394 DNM786394 DDQ786394 CTU786394 CJY786394 CAC786394 BQG786394 BGK786394 AWO786394 AMS786394 ACW786394 TA786394 JE786394 I786394 WVQ720858 WLU720858 WBY720858 VSC720858 VIG720858 UYK720858 UOO720858 UES720858 TUW720858 TLA720858 TBE720858 SRI720858 SHM720858 RXQ720858 RNU720858 RDY720858 QUC720858 QKG720858 QAK720858 PQO720858 PGS720858 OWW720858 ONA720858 ODE720858 NTI720858 NJM720858 MZQ720858 MPU720858 MFY720858 LWC720858 LMG720858 LCK720858 KSO720858 KIS720858 JYW720858 JPA720858 JFE720858 IVI720858 ILM720858 IBQ720858 HRU720858 HHY720858 GYC720858 GOG720858 GEK720858 FUO720858 FKS720858 FAW720858 ERA720858 EHE720858 DXI720858 DNM720858 DDQ720858 CTU720858 CJY720858 CAC720858 BQG720858 BGK720858 AWO720858 AMS720858 ACW720858 TA720858 JE720858 I720858 WVQ655322 WLU655322 WBY655322 VSC655322 VIG655322 UYK655322 UOO655322 UES655322 TUW655322 TLA655322 TBE655322 SRI655322 SHM655322 RXQ655322 RNU655322 RDY655322 QUC655322 QKG655322 QAK655322 PQO655322 PGS655322 OWW655322 ONA655322 ODE655322 NTI655322 NJM655322 MZQ655322 MPU655322 MFY655322 LWC655322 LMG655322 LCK655322 KSO655322 KIS655322 JYW655322 JPA655322 JFE655322 IVI655322 ILM655322 IBQ655322 HRU655322 HHY655322 GYC655322 GOG655322 GEK655322 FUO655322 FKS655322 FAW655322 ERA655322 EHE655322 DXI655322 DNM655322 DDQ655322 CTU655322 CJY655322 CAC655322 BQG655322 BGK655322 AWO655322 AMS655322 ACW655322 TA655322 JE655322 I655322 WVQ589786 WLU589786 WBY589786 VSC589786 VIG589786 UYK589786 UOO589786 UES589786 TUW589786 TLA589786 TBE589786 SRI589786 SHM589786 RXQ589786 RNU589786 RDY589786 QUC589786 QKG589786 QAK589786 PQO589786 PGS589786 OWW589786 ONA589786 ODE589786 NTI589786 NJM589786 MZQ589786 MPU589786 MFY589786 LWC589786 LMG589786 LCK589786 KSO589786 KIS589786 JYW589786 JPA589786 JFE589786 IVI589786 ILM589786 IBQ589786 HRU589786 HHY589786 GYC589786 GOG589786 GEK589786 FUO589786 FKS589786 FAW589786 ERA589786 EHE589786 DXI589786 DNM589786 DDQ589786 CTU589786 CJY589786 CAC589786 BQG589786 BGK589786 AWO589786 AMS589786 ACW589786 TA589786 JE589786 I589786 WVQ524250 WLU524250 WBY524250 VSC524250 VIG524250 UYK524250 UOO524250 UES524250 TUW524250 TLA524250 TBE524250 SRI524250 SHM524250 RXQ524250 RNU524250 RDY524250 QUC524250 QKG524250 QAK524250 PQO524250 PGS524250 OWW524250 ONA524250 ODE524250 NTI524250 NJM524250 MZQ524250 MPU524250 MFY524250 LWC524250 LMG524250 LCK524250 KSO524250 KIS524250 JYW524250 JPA524250 JFE524250 IVI524250 ILM524250 IBQ524250 HRU524250 HHY524250 GYC524250 GOG524250 GEK524250 FUO524250 FKS524250 FAW524250 ERA524250 EHE524250 DXI524250 DNM524250 DDQ524250 CTU524250 CJY524250 CAC524250 BQG524250 BGK524250 AWO524250 AMS524250 ACW524250 TA524250 JE524250 I524250 WVQ458714 WLU458714 WBY458714 VSC458714 VIG458714 UYK458714 UOO458714 UES458714 TUW458714 TLA458714 TBE458714 SRI458714 SHM458714 RXQ458714 RNU458714 RDY458714 QUC458714 QKG458714 QAK458714 PQO458714 PGS458714 OWW458714 ONA458714 ODE458714 NTI458714 NJM458714 MZQ458714 MPU458714 MFY458714 LWC458714 LMG458714 LCK458714 KSO458714 KIS458714 JYW458714 JPA458714 JFE458714 IVI458714 ILM458714 IBQ458714 HRU458714 HHY458714 GYC458714 GOG458714 GEK458714 FUO458714 FKS458714 FAW458714 ERA458714 EHE458714 DXI458714 DNM458714 DDQ458714 CTU458714 CJY458714 CAC458714 BQG458714 BGK458714 AWO458714 AMS458714 ACW458714 TA458714 JE458714 I458714 WVQ393178 WLU393178 WBY393178 VSC393178 VIG393178 UYK393178 UOO393178 UES393178 TUW393178 TLA393178 TBE393178 SRI393178 SHM393178 RXQ393178 RNU393178 RDY393178 QUC393178 QKG393178 QAK393178 PQO393178 PGS393178 OWW393178 ONA393178 ODE393178 NTI393178 NJM393178 MZQ393178 MPU393178 MFY393178 LWC393178 LMG393178 LCK393178 KSO393178 KIS393178 JYW393178 JPA393178 JFE393178 IVI393178 ILM393178 IBQ393178 HRU393178 HHY393178 GYC393178 GOG393178 GEK393178 FUO393178 FKS393178 FAW393178 ERA393178 EHE393178 DXI393178 DNM393178 DDQ393178 CTU393178 CJY393178 CAC393178 BQG393178 BGK393178 AWO393178 AMS393178 ACW393178 TA393178 JE393178 I393178 WVQ327642 WLU327642 WBY327642 VSC327642 VIG327642 UYK327642 UOO327642 UES327642 TUW327642 TLA327642 TBE327642 SRI327642 SHM327642 RXQ327642 RNU327642 RDY327642 QUC327642 QKG327642 QAK327642 PQO327642 PGS327642 OWW327642 ONA327642 ODE327642 NTI327642 NJM327642 MZQ327642 MPU327642 MFY327642 LWC327642 LMG327642 LCK327642 KSO327642 KIS327642 JYW327642 JPA327642 JFE327642 IVI327642 ILM327642 IBQ327642 HRU327642 HHY327642 GYC327642 GOG327642 GEK327642 FUO327642 FKS327642 FAW327642 ERA327642 EHE327642 DXI327642 DNM327642 DDQ327642 CTU327642 CJY327642 CAC327642 BQG327642 BGK327642 AWO327642 AMS327642 ACW327642 TA327642 JE327642 I327642 WVQ262106 WLU262106 WBY262106 VSC262106 VIG262106 UYK262106 UOO262106 UES262106 TUW262106 TLA262106 TBE262106 SRI262106 SHM262106 RXQ262106 RNU262106 RDY262106 QUC262106 QKG262106 QAK262106 PQO262106 PGS262106 OWW262106 ONA262106 ODE262106 NTI262106 NJM262106 MZQ262106 MPU262106 MFY262106 LWC262106 LMG262106 LCK262106 KSO262106 KIS262106 JYW262106 JPA262106 JFE262106 IVI262106 ILM262106 IBQ262106 HRU262106 HHY262106 GYC262106 GOG262106 GEK262106 FUO262106 FKS262106 FAW262106 ERA262106 EHE262106 DXI262106 DNM262106 DDQ262106 CTU262106 CJY262106 CAC262106 BQG262106 BGK262106 AWO262106 AMS262106 ACW262106 TA262106 JE262106 I262106 WVQ196570 WLU196570 WBY196570 VSC196570 VIG196570 UYK196570 UOO196570 UES196570 TUW196570 TLA196570 TBE196570 SRI196570 SHM196570 RXQ196570 RNU196570 RDY196570 QUC196570 QKG196570 QAK196570 PQO196570 PGS196570 OWW196570 ONA196570 ODE196570 NTI196570 NJM196570 MZQ196570 MPU196570 MFY196570 LWC196570 LMG196570 LCK196570 KSO196570 KIS196570 JYW196570 JPA196570 JFE196570 IVI196570 ILM196570 IBQ196570 HRU196570 HHY196570 GYC196570 GOG196570 GEK196570 FUO196570 FKS196570 FAW196570 ERA196570 EHE196570 DXI196570 DNM196570 DDQ196570 CTU196570 CJY196570 CAC196570 BQG196570 BGK196570 AWO196570 AMS196570 ACW196570 TA196570 JE196570 I196570 WVQ131034 WLU131034 WBY131034 VSC131034 VIG131034 UYK131034 UOO131034 UES131034 TUW131034 TLA131034 TBE131034 SRI131034 SHM131034 RXQ131034 RNU131034 RDY131034 QUC131034 QKG131034 QAK131034 PQO131034 PGS131034 OWW131034 ONA131034 ODE131034 NTI131034 NJM131034 MZQ131034 MPU131034 MFY131034 LWC131034 LMG131034 LCK131034 KSO131034 KIS131034 JYW131034 JPA131034 JFE131034 IVI131034 ILM131034 IBQ131034 HRU131034 HHY131034 GYC131034 GOG131034 GEK131034 FUO131034 FKS131034 FAW131034 ERA131034 EHE131034 DXI131034 DNM131034 DDQ131034 CTU131034 CJY131034 CAC131034 BQG131034 BGK131034 AWO131034 AMS131034 ACW131034 TA131034 JE131034 I131034 WVQ65498 WLU65498 WBY65498 VSC65498 VIG65498 UYK65498 UOO65498 UES65498 TUW65498 TLA65498 TBE65498 SRI65498 SHM65498 RXQ65498 RNU65498 RDY65498 QUC65498 QKG65498 QAK65498 PQO65498 PGS65498 OWW65498 ONA65498 ODE65498 NTI65498 NJM65498 MZQ65498 MPU65498 MFY65498 LWC65498 LMG65498 LCK65498 KSO65498 KIS65498 JYW65498 JPA65498 JFE65498 IVI65498 ILM65498 IBQ65498 HRU65498 HHY65498 GYC65498 GOG65498 GEK65498 FUO65498 FKS65498 FAW65498 ERA65498 EHE65498 DXI65498 DNM65498 DDQ65498 CTU65498 CJY65498 CAC65498 BQG65498 BGK65498 AWO65498 AMS65498 ACW65498 TA65498 JE65498" xr:uid="{E4883051-D1DF-46BC-A89C-7F87FC94A3B5}">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6B146-2DDD-4CEC-8F1C-7D4ECAF2497D}">
  <dimension ref="A1:J105"/>
  <sheetViews>
    <sheetView topLeftCell="A5" zoomScaleNormal="100" workbookViewId="0">
      <selection activeCell="D19" sqref="D19"/>
    </sheetView>
  </sheetViews>
  <sheetFormatPr defaultRowHeight="14.4" x14ac:dyDescent="0.3"/>
  <cols>
    <col min="1" max="1" width="13.5546875" customWidth="1"/>
    <col min="2" max="2" width="16.109375" customWidth="1"/>
    <col min="3" max="3" width="21.44140625" customWidth="1"/>
    <col min="4" max="4" width="32.77734375" bestFit="1" customWidth="1"/>
    <col min="5" max="5" width="18" customWidth="1"/>
    <col min="6" max="6" width="8.88671875" style="110"/>
    <col min="7" max="7" width="21.33203125" bestFit="1" customWidth="1"/>
    <col min="8" max="8" width="19.77734375" customWidth="1"/>
    <col min="257" max="257" width="13.5546875" customWidth="1"/>
    <col min="258" max="258" width="16.109375" customWidth="1"/>
    <col min="259" max="259" width="21.44140625" customWidth="1"/>
    <col min="260" max="260" width="29.6640625" customWidth="1"/>
    <col min="261" max="261" width="18" customWidth="1"/>
    <col min="263" max="263" width="21.33203125" bestFit="1" customWidth="1"/>
    <col min="264" max="264" width="19.77734375" customWidth="1"/>
    <col min="513" max="513" width="13.5546875" customWidth="1"/>
    <col min="514" max="514" width="16.109375" customWidth="1"/>
    <col min="515" max="515" width="21.44140625" customWidth="1"/>
    <col min="516" max="516" width="29.6640625" customWidth="1"/>
    <col min="517" max="517" width="18" customWidth="1"/>
    <col min="519" max="519" width="21.33203125" bestFit="1" customWidth="1"/>
    <col min="520" max="520" width="19.77734375" customWidth="1"/>
    <col min="769" max="769" width="13.5546875" customWidth="1"/>
    <col min="770" max="770" width="16.109375" customWidth="1"/>
    <col min="771" max="771" width="21.44140625" customWidth="1"/>
    <col min="772" max="772" width="29.6640625" customWidth="1"/>
    <col min="773" max="773" width="18" customWidth="1"/>
    <col min="775" max="775" width="21.33203125" bestFit="1" customWidth="1"/>
    <col min="776" max="776" width="19.77734375" customWidth="1"/>
    <col min="1025" max="1025" width="13.5546875" customWidth="1"/>
    <col min="1026" max="1026" width="16.109375" customWidth="1"/>
    <col min="1027" max="1027" width="21.44140625" customWidth="1"/>
    <col min="1028" max="1028" width="29.6640625" customWidth="1"/>
    <col min="1029" max="1029" width="18" customWidth="1"/>
    <col min="1031" max="1031" width="21.33203125" bestFit="1" customWidth="1"/>
    <col min="1032" max="1032" width="19.77734375" customWidth="1"/>
    <col min="1281" max="1281" width="13.5546875" customWidth="1"/>
    <col min="1282" max="1282" width="16.109375" customWidth="1"/>
    <col min="1283" max="1283" width="21.44140625" customWidth="1"/>
    <col min="1284" max="1284" width="29.6640625" customWidth="1"/>
    <col min="1285" max="1285" width="18" customWidth="1"/>
    <col min="1287" max="1287" width="21.33203125" bestFit="1" customWidth="1"/>
    <col min="1288" max="1288" width="19.77734375" customWidth="1"/>
    <col min="1537" max="1537" width="13.5546875" customWidth="1"/>
    <col min="1538" max="1538" width="16.109375" customWidth="1"/>
    <col min="1539" max="1539" width="21.44140625" customWidth="1"/>
    <col min="1540" max="1540" width="29.6640625" customWidth="1"/>
    <col min="1541" max="1541" width="18" customWidth="1"/>
    <col min="1543" max="1543" width="21.33203125" bestFit="1" customWidth="1"/>
    <col min="1544" max="1544" width="19.77734375" customWidth="1"/>
    <col min="1793" max="1793" width="13.5546875" customWidth="1"/>
    <col min="1794" max="1794" width="16.109375" customWidth="1"/>
    <col min="1795" max="1795" width="21.44140625" customWidth="1"/>
    <col min="1796" max="1796" width="29.6640625" customWidth="1"/>
    <col min="1797" max="1797" width="18" customWidth="1"/>
    <col min="1799" max="1799" width="21.33203125" bestFit="1" customWidth="1"/>
    <col min="1800" max="1800" width="19.77734375" customWidth="1"/>
    <col min="2049" max="2049" width="13.5546875" customWidth="1"/>
    <col min="2050" max="2050" width="16.109375" customWidth="1"/>
    <col min="2051" max="2051" width="21.44140625" customWidth="1"/>
    <col min="2052" max="2052" width="29.6640625" customWidth="1"/>
    <col min="2053" max="2053" width="18" customWidth="1"/>
    <col min="2055" max="2055" width="21.33203125" bestFit="1" customWidth="1"/>
    <col min="2056" max="2056" width="19.77734375" customWidth="1"/>
    <col min="2305" max="2305" width="13.5546875" customWidth="1"/>
    <col min="2306" max="2306" width="16.109375" customWidth="1"/>
    <col min="2307" max="2307" width="21.44140625" customWidth="1"/>
    <col min="2308" max="2308" width="29.6640625" customWidth="1"/>
    <col min="2309" max="2309" width="18" customWidth="1"/>
    <col min="2311" max="2311" width="21.33203125" bestFit="1" customWidth="1"/>
    <col min="2312" max="2312" width="19.77734375" customWidth="1"/>
    <col min="2561" max="2561" width="13.5546875" customWidth="1"/>
    <col min="2562" max="2562" width="16.109375" customWidth="1"/>
    <col min="2563" max="2563" width="21.44140625" customWidth="1"/>
    <col min="2564" max="2564" width="29.6640625" customWidth="1"/>
    <col min="2565" max="2565" width="18" customWidth="1"/>
    <col min="2567" max="2567" width="21.33203125" bestFit="1" customWidth="1"/>
    <col min="2568" max="2568" width="19.77734375" customWidth="1"/>
    <col min="2817" max="2817" width="13.5546875" customWidth="1"/>
    <col min="2818" max="2818" width="16.109375" customWidth="1"/>
    <col min="2819" max="2819" width="21.44140625" customWidth="1"/>
    <col min="2820" max="2820" width="29.6640625" customWidth="1"/>
    <col min="2821" max="2821" width="18" customWidth="1"/>
    <col min="2823" max="2823" width="21.33203125" bestFit="1" customWidth="1"/>
    <col min="2824" max="2824" width="19.77734375" customWidth="1"/>
    <col min="3073" max="3073" width="13.5546875" customWidth="1"/>
    <col min="3074" max="3074" width="16.109375" customWidth="1"/>
    <col min="3075" max="3075" width="21.44140625" customWidth="1"/>
    <col min="3076" max="3076" width="29.6640625" customWidth="1"/>
    <col min="3077" max="3077" width="18" customWidth="1"/>
    <col min="3079" max="3079" width="21.33203125" bestFit="1" customWidth="1"/>
    <col min="3080" max="3080" width="19.77734375" customWidth="1"/>
    <col min="3329" max="3329" width="13.5546875" customWidth="1"/>
    <col min="3330" max="3330" width="16.109375" customWidth="1"/>
    <col min="3331" max="3331" width="21.44140625" customWidth="1"/>
    <col min="3332" max="3332" width="29.6640625" customWidth="1"/>
    <col min="3333" max="3333" width="18" customWidth="1"/>
    <col min="3335" max="3335" width="21.33203125" bestFit="1" customWidth="1"/>
    <col min="3336" max="3336" width="19.77734375" customWidth="1"/>
    <col min="3585" max="3585" width="13.5546875" customWidth="1"/>
    <col min="3586" max="3586" width="16.109375" customWidth="1"/>
    <col min="3587" max="3587" width="21.44140625" customWidth="1"/>
    <col min="3588" max="3588" width="29.6640625" customWidth="1"/>
    <col min="3589" max="3589" width="18" customWidth="1"/>
    <col min="3591" max="3591" width="21.33203125" bestFit="1" customWidth="1"/>
    <col min="3592" max="3592" width="19.77734375" customWidth="1"/>
    <col min="3841" max="3841" width="13.5546875" customWidth="1"/>
    <col min="3842" max="3842" width="16.109375" customWidth="1"/>
    <col min="3843" max="3843" width="21.44140625" customWidth="1"/>
    <col min="3844" max="3844" width="29.6640625" customWidth="1"/>
    <col min="3845" max="3845" width="18" customWidth="1"/>
    <col min="3847" max="3847" width="21.33203125" bestFit="1" customWidth="1"/>
    <col min="3848" max="3848" width="19.77734375" customWidth="1"/>
    <col min="4097" max="4097" width="13.5546875" customWidth="1"/>
    <col min="4098" max="4098" width="16.109375" customWidth="1"/>
    <col min="4099" max="4099" width="21.44140625" customWidth="1"/>
    <col min="4100" max="4100" width="29.6640625" customWidth="1"/>
    <col min="4101" max="4101" width="18" customWidth="1"/>
    <col min="4103" max="4103" width="21.33203125" bestFit="1" customWidth="1"/>
    <col min="4104" max="4104" width="19.77734375" customWidth="1"/>
    <col min="4353" max="4353" width="13.5546875" customWidth="1"/>
    <col min="4354" max="4354" width="16.109375" customWidth="1"/>
    <col min="4355" max="4355" width="21.44140625" customWidth="1"/>
    <col min="4356" max="4356" width="29.6640625" customWidth="1"/>
    <col min="4357" max="4357" width="18" customWidth="1"/>
    <col min="4359" max="4359" width="21.33203125" bestFit="1" customWidth="1"/>
    <col min="4360" max="4360" width="19.77734375" customWidth="1"/>
    <col min="4609" max="4609" width="13.5546875" customWidth="1"/>
    <col min="4610" max="4610" width="16.109375" customWidth="1"/>
    <col min="4611" max="4611" width="21.44140625" customWidth="1"/>
    <col min="4612" max="4612" width="29.6640625" customWidth="1"/>
    <col min="4613" max="4613" width="18" customWidth="1"/>
    <col min="4615" max="4615" width="21.33203125" bestFit="1" customWidth="1"/>
    <col min="4616" max="4616" width="19.77734375" customWidth="1"/>
    <col min="4865" max="4865" width="13.5546875" customWidth="1"/>
    <col min="4866" max="4866" width="16.109375" customWidth="1"/>
    <col min="4867" max="4867" width="21.44140625" customWidth="1"/>
    <col min="4868" max="4868" width="29.6640625" customWidth="1"/>
    <col min="4869" max="4869" width="18" customWidth="1"/>
    <col min="4871" max="4871" width="21.33203125" bestFit="1" customWidth="1"/>
    <col min="4872" max="4872" width="19.77734375" customWidth="1"/>
    <col min="5121" max="5121" width="13.5546875" customWidth="1"/>
    <col min="5122" max="5122" width="16.109375" customWidth="1"/>
    <col min="5123" max="5123" width="21.44140625" customWidth="1"/>
    <col min="5124" max="5124" width="29.6640625" customWidth="1"/>
    <col min="5125" max="5125" width="18" customWidth="1"/>
    <col min="5127" max="5127" width="21.33203125" bestFit="1" customWidth="1"/>
    <col min="5128" max="5128" width="19.77734375" customWidth="1"/>
    <col min="5377" max="5377" width="13.5546875" customWidth="1"/>
    <col min="5378" max="5378" width="16.109375" customWidth="1"/>
    <col min="5379" max="5379" width="21.44140625" customWidth="1"/>
    <col min="5380" max="5380" width="29.6640625" customWidth="1"/>
    <col min="5381" max="5381" width="18" customWidth="1"/>
    <col min="5383" max="5383" width="21.33203125" bestFit="1" customWidth="1"/>
    <col min="5384" max="5384" width="19.77734375" customWidth="1"/>
    <col min="5633" max="5633" width="13.5546875" customWidth="1"/>
    <col min="5634" max="5634" width="16.109375" customWidth="1"/>
    <col min="5635" max="5635" width="21.44140625" customWidth="1"/>
    <col min="5636" max="5636" width="29.6640625" customWidth="1"/>
    <col min="5637" max="5637" width="18" customWidth="1"/>
    <col min="5639" max="5639" width="21.33203125" bestFit="1" customWidth="1"/>
    <col min="5640" max="5640" width="19.77734375" customWidth="1"/>
    <col min="5889" max="5889" width="13.5546875" customWidth="1"/>
    <col min="5890" max="5890" width="16.109375" customWidth="1"/>
    <col min="5891" max="5891" width="21.44140625" customWidth="1"/>
    <col min="5892" max="5892" width="29.6640625" customWidth="1"/>
    <col min="5893" max="5893" width="18" customWidth="1"/>
    <col min="5895" max="5895" width="21.33203125" bestFit="1" customWidth="1"/>
    <col min="5896" max="5896" width="19.77734375" customWidth="1"/>
    <col min="6145" max="6145" width="13.5546875" customWidth="1"/>
    <col min="6146" max="6146" width="16.109375" customWidth="1"/>
    <col min="6147" max="6147" width="21.44140625" customWidth="1"/>
    <col min="6148" max="6148" width="29.6640625" customWidth="1"/>
    <col min="6149" max="6149" width="18" customWidth="1"/>
    <col min="6151" max="6151" width="21.33203125" bestFit="1" customWidth="1"/>
    <col min="6152" max="6152" width="19.77734375" customWidth="1"/>
    <col min="6401" max="6401" width="13.5546875" customWidth="1"/>
    <col min="6402" max="6402" width="16.109375" customWidth="1"/>
    <col min="6403" max="6403" width="21.44140625" customWidth="1"/>
    <col min="6404" max="6404" width="29.6640625" customWidth="1"/>
    <col min="6405" max="6405" width="18" customWidth="1"/>
    <col min="6407" max="6407" width="21.33203125" bestFit="1" customWidth="1"/>
    <col min="6408" max="6408" width="19.77734375" customWidth="1"/>
    <col min="6657" max="6657" width="13.5546875" customWidth="1"/>
    <col min="6658" max="6658" width="16.109375" customWidth="1"/>
    <col min="6659" max="6659" width="21.44140625" customWidth="1"/>
    <col min="6660" max="6660" width="29.6640625" customWidth="1"/>
    <col min="6661" max="6661" width="18" customWidth="1"/>
    <col min="6663" max="6663" width="21.33203125" bestFit="1" customWidth="1"/>
    <col min="6664" max="6664" width="19.77734375" customWidth="1"/>
    <col min="6913" max="6913" width="13.5546875" customWidth="1"/>
    <col min="6914" max="6914" width="16.109375" customWidth="1"/>
    <col min="6915" max="6915" width="21.44140625" customWidth="1"/>
    <col min="6916" max="6916" width="29.6640625" customWidth="1"/>
    <col min="6917" max="6917" width="18" customWidth="1"/>
    <col min="6919" max="6919" width="21.33203125" bestFit="1" customWidth="1"/>
    <col min="6920" max="6920" width="19.77734375" customWidth="1"/>
    <col min="7169" max="7169" width="13.5546875" customWidth="1"/>
    <col min="7170" max="7170" width="16.109375" customWidth="1"/>
    <col min="7171" max="7171" width="21.44140625" customWidth="1"/>
    <col min="7172" max="7172" width="29.6640625" customWidth="1"/>
    <col min="7173" max="7173" width="18" customWidth="1"/>
    <col min="7175" max="7175" width="21.33203125" bestFit="1" customWidth="1"/>
    <col min="7176" max="7176" width="19.77734375" customWidth="1"/>
    <col min="7425" max="7425" width="13.5546875" customWidth="1"/>
    <col min="7426" max="7426" width="16.109375" customWidth="1"/>
    <col min="7427" max="7427" width="21.44140625" customWidth="1"/>
    <col min="7428" max="7428" width="29.6640625" customWidth="1"/>
    <col min="7429" max="7429" width="18" customWidth="1"/>
    <col min="7431" max="7431" width="21.33203125" bestFit="1" customWidth="1"/>
    <col min="7432" max="7432" width="19.77734375" customWidth="1"/>
    <col min="7681" max="7681" width="13.5546875" customWidth="1"/>
    <col min="7682" max="7682" width="16.109375" customWidth="1"/>
    <col min="7683" max="7683" width="21.44140625" customWidth="1"/>
    <col min="7684" max="7684" width="29.6640625" customWidth="1"/>
    <col min="7685" max="7685" width="18" customWidth="1"/>
    <col min="7687" max="7687" width="21.33203125" bestFit="1" customWidth="1"/>
    <col min="7688" max="7688" width="19.77734375" customWidth="1"/>
    <col min="7937" max="7937" width="13.5546875" customWidth="1"/>
    <col min="7938" max="7938" width="16.109375" customWidth="1"/>
    <col min="7939" max="7939" width="21.44140625" customWidth="1"/>
    <col min="7940" max="7940" width="29.6640625" customWidth="1"/>
    <col min="7941" max="7941" width="18" customWidth="1"/>
    <col min="7943" max="7943" width="21.33203125" bestFit="1" customWidth="1"/>
    <col min="7944" max="7944" width="19.77734375" customWidth="1"/>
    <col min="8193" max="8193" width="13.5546875" customWidth="1"/>
    <col min="8194" max="8194" width="16.109375" customWidth="1"/>
    <col min="8195" max="8195" width="21.44140625" customWidth="1"/>
    <col min="8196" max="8196" width="29.6640625" customWidth="1"/>
    <col min="8197" max="8197" width="18" customWidth="1"/>
    <col min="8199" max="8199" width="21.33203125" bestFit="1" customWidth="1"/>
    <col min="8200" max="8200" width="19.77734375" customWidth="1"/>
    <col min="8449" max="8449" width="13.5546875" customWidth="1"/>
    <col min="8450" max="8450" width="16.109375" customWidth="1"/>
    <col min="8451" max="8451" width="21.44140625" customWidth="1"/>
    <col min="8452" max="8452" width="29.6640625" customWidth="1"/>
    <col min="8453" max="8453" width="18" customWidth="1"/>
    <col min="8455" max="8455" width="21.33203125" bestFit="1" customWidth="1"/>
    <col min="8456" max="8456" width="19.77734375" customWidth="1"/>
    <col min="8705" max="8705" width="13.5546875" customWidth="1"/>
    <col min="8706" max="8706" width="16.109375" customWidth="1"/>
    <col min="8707" max="8707" width="21.44140625" customWidth="1"/>
    <col min="8708" max="8708" width="29.6640625" customWidth="1"/>
    <col min="8709" max="8709" width="18" customWidth="1"/>
    <col min="8711" max="8711" width="21.33203125" bestFit="1" customWidth="1"/>
    <col min="8712" max="8712" width="19.77734375" customWidth="1"/>
    <col min="8961" max="8961" width="13.5546875" customWidth="1"/>
    <col min="8962" max="8962" width="16.109375" customWidth="1"/>
    <col min="8963" max="8963" width="21.44140625" customWidth="1"/>
    <col min="8964" max="8964" width="29.6640625" customWidth="1"/>
    <col min="8965" max="8965" width="18" customWidth="1"/>
    <col min="8967" max="8967" width="21.33203125" bestFit="1" customWidth="1"/>
    <col min="8968" max="8968" width="19.77734375" customWidth="1"/>
    <col min="9217" max="9217" width="13.5546875" customWidth="1"/>
    <col min="9218" max="9218" width="16.109375" customWidth="1"/>
    <col min="9219" max="9219" width="21.44140625" customWidth="1"/>
    <col min="9220" max="9220" width="29.6640625" customWidth="1"/>
    <col min="9221" max="9221" width="18" customWidth="1"/>
    <col min="9223" max="9223" width="21.33203125" bestFit="1" customWidth="1"/>
    <col min="9224" max="9224" width="19.77734375" customWidth="1"/>
    <col min="9473" max="9473" width="13.5546875" customWidth="1"/>
    <col min="9474" max="9474" width="16.109375" customWidth="1"/>
    <col min="9475" max="9475" width="21.44140625" customWidth="1"/>
    <col min="9476" max="9476" width="29.6640625" customWidth="1"/>
    <col min="9477" max="9477" width="18" customWidth="1"/>
    <col min="9479" max="9479" width="21.33203125" bestFit="1" customWidth="1"/>
    <col min="9480" max="9480" width="19.77734375" customWidth="1"/>
    <col min="9729" max="9729" width="13.5546875" customWidth="1"/>
    <col min="9730" max="9730" width="16.109375" customWidth="1"/>
    <col min="9731" max="9731" width="21.44140625" customWidth="1"/>
    <col min="9732" max="9732" width="29.6640625" customWidth="1"/>
    <col min="9733" max="9733" width="18" customWidth="1"/>
    <col min="9735" max="9735" width="21.33203125" bestFit="1" customWidth="1"/>
    <col min="9736" max="9736" width="19.77734375" customWidth="1"/>
    <col min="9985" max="9985" width="13.5546875" customWidth="1"/>
    <col min="9986" max="9986" width="16.109375" customWidth="1"/>
    <col min="9987" max="9987" width="21.44140625" customWidth="1"/>
    <col min="9988" max="9988" width="29.6640625" customWidth="1"/>
    <col min="9989" max="9989" width="18" customWidth="1"/>
    <col min="9991" max="9991" width="21.33203125" bestFit="1" customWidth="1"/>
    <col min="9992" max="9992" width="19.77734375" customWidth="1"/>
    <col min="10241" max="10241" width="13.5546875" customWidth="1"/>
    <col min="10242" max="10242" width="16.109375" customWidth="1"/>
    <col min="10243" max="10243" width="21.44140625" customWidth="1"/>
    <col min="10244" max="10244" width="29.6640625" customWidth="1"/>
    <col min="10245" max="10245" width="18" customWidth="1"/>
    <col min="10247" max="10247" width="21.33203125" bestFit="1" customWidth="1"/>
    <col min="10248" max="10248" width="19.77734375" customWidth="1"/>
    <col min="10497" max="10497" width="13.5546875" customWidth="1"/>
    <col min="10498" max="10498" width="16.109375" customWidth="1"/>
    <col min="10499" max="10499" width="21.44140625" customWidth="1"/>
    <col min="10500" max="10500" width="29.6640625" customWidth="1"/>
    <col min="10501" max="10501" width="18" customWidth="1"/>
    <col min="10503" max="10503" width="21.33203125" bestFit="1" customWidth="1"/>
    <col min="10504" max="10504" width="19.77734375" customWidth="1"/>
    <col min="10753" max="10753" width="13.5546875" customWidth="1"/>
    <col min="10754" max="10754" width="16.109375" customWidth="1"/>
    <col min="10755" max="10755" width="21.44140625" customWidth="1"/>
    <col min="10756" max="10756" width="29.6640625" customWidth="1"/>
    <col min="10757" max="10757" width="18" customWidth="1"/>
    <col min="10759" max="10759" width="21.33203125" bestFit="1" customWidth="1"/>
    <col min="10760" max="10760" width="19.77734375" customWidth="1"/>
    <col min="11009" max="11009" width="13.5546875" customWidth="1"/>
    <col min="11010" max="11010" width="16.109375" customWidth="1"/>
    <col min="11011" max="11011" width="21.44140625" customWidth="1"/>
    <col min="11012" max="11012" width="29.6640625" customWidth="1"/>
    <col min="11013" max="11013" width="18" customWidth="1"/>
    <col min="11015" max="11015" width="21.33203125" bestFit="1" customWidth="1"/>
    <col min="11016" max="11016" width="19.77734375" customWidth="1"/>
    <col min="11265" max="11265" width="13.5546875" customWidth="1"/>
    <col min="11266" max="11266" width="16.109375" customWidth="1"/>
    <col min="11267" max="11267" width="21.44140625" customWidth="1"/>
    <col min="11268" max="11268" width="29.6640625" customWidth="1"/>
    <col min="11269" max="11269" width="18" customWidth="1"/>
    <col min="11271" max="11271" width="21.33203125" bestFit="1" customWidth="1"/>
    <col min="11272" max="11272" width="19.77734375" customWidth="1"/>
    <col min="11521" max="11521" width="13.5546875" customWidth="1"/>
    <col min="11522" max="11522" width="16.109375" customWidth="1"/>
    <col min="11523" max="11523" width="21.44140625" customWidth="1"/>
    <col min="11524" max="11524" width="29.6640625" customWidth="1"/>
    <col min="11525" max="11525" width="18" customWidth="1"/>
    <col min="11527" max="11527" width="21.33203125" bestFit="1" customWidth="1"/>
    <col min="11528" max="11528" width="19.77734375" customWidth="1"/>
    <col min="11777" max="11777" width="13.5546875" customWidth="1"/>
    <col min="11778" max="11778" width="16.109375" customWidth="1"/>
    <col min="11779" max="11779" width="21.44140625" customWidth="1"/>
    <col min="11780" max="11780" width="29.6640625" customWidth="1"/>
    <col min="11781" max="11781" width="18" customWidth="1"/>
    <col min="11783" max="11783" width="21.33203125" bestFit="1" customWidth="1"/>
    <col min="11784" max="11784" width="19.77734375" customWidth="1"/>
    <col min="12033" max="12033" width="13.5546875" customWidth="1"/>
    <col min="12034" max="12034" width="16.109375" customWidth="1"/>
    <col min="12035" max="12035" width="21.44140625" customWidth="1"/>
    <col min="12036" max="12036" width="29.6640625" customWidth="1"/>
    <col min="12037" max="12037" width="18" customWidth="1"/>
    <col min="12039" max="12039" width="21.33203125" bestFit="1" customWidth="1"/>
    <col min="12040" max="12040" width="19.77734375" customWidth="1"/>
    <col min="12289" max="12289" width="13.5546875" customWidth="1"/>
    <col min="12290" max="12290" width="16.109375" customWidth="1"/>
    <col min="12291" max="12291" width="21.44140625" customWidth="1"/>
    <col min="12292" max="12292" width="29.6640625" customWidth="1"/>
    <col min="12293" max="12293" width="18" customWidth="1"/>
    <col min="12295" max="12295" width="21.33203125" bestFit="1" customWidth="1"/>
    <col min="12296" max="12296" width="19.77734375" customWidth="1"/>
    <col min="12545" max="12545" width="13.5546875" customWidth="1"/>
    <col min="12546" max="12546" width="16.109375" customWidth="1"/>
    <col min="12547" max="12547" width="21.44140625" customWidth="1"/>
    <col min="12548" max="12548" width="29.6640625" customWidth="1"/>
    <col min="12549" max="12549" width="18" customWidth="1"/>
    <col min="12551" max="12551" width="21.33203125" bestFit="1" customWidth="1"/>
    <col min="12552" max="12552" width="19.77734375" customWidth="1"/>
    <col min="12801" max="12801" width="13.5546875" customWidth="1"/>
    <col min="12802" max="12802" width="16.109375" customWidth="1"/>
    <col min="12803" max="12803" width="21.44140625" customWidth="1"/>
    <col min="12804" max="12804" width="29.6640625" customWidth="1"/>
    <col min="12805" max="12805" width="18" customWidth="1"/>
    <col min="12807" max="12807" width="21.33203125" bestFit="1" customWidth="1"/>
    <col min="12808" max="12808" width="19.77734375" customWidth="1"/>
    <col min="13057" max="13057" width="13.5546875" customWidth="1"/>
    <col min="13058" max="13058" width="16.109375" customWidth="1"/>
    <col min="13059" max="13059" width="21.44140625" customWidth="1"/>
    <col min="13060" max="13060" width="29.6640625" customWidth="1"/>
    <col min="13061" max="13061" width="18" customWidth="1"/>
    <col min="13063" max="13063" width="21.33203125" bestFit="1" customWidth="1"/>
    <col min="13064" max="13064" width="19.77734375" customWidth="1"/>
    <col min="13313" max="13313" width="13.5546875" customWidth="1"/>
    <col min="13314" max="13314" width="16.109375" customWidth="1"/>
    <col min="13315" max="13315" width="21.44140625" customWidth="1"/>
    <col min="13316" max="13316" width="29.6640625" customWidth="1"/>
    <col min="13317" max="13317" width="18" customWidth="1"/>
    <col min="13319" max="13319" width="21.33203125" bestFit="1" customWidth="1"/>
    <col min="13320" max="13320" width="19.77734375" customWidth="1"/>
    <col min="13569" max="13569" width="13.5546875" customWidth="1"/>
    <col min="13570" max="13570" width="16.109375" customWidth="1"/>
    <col min="13571" max="13571" width="21.44140625" customWidth="1"/>
    <col min="13572" max="13572" width="29.6640625" customWidth="1"/>
    <col min="13573" max="13573" width="18" customWidth="1"/>
    <col min="13575" max="13575" width="21.33203125" bestFit="1" customWidth="1"/>
    <col min="13576" max="13576" width="19.77734375" customWidth="1"/>
    <col min="13825" max="13825" width="13.5546875" customWidth="1"/>
    <col min="13826" max="13826" width="16.109375" customWidth="1"/>
    <col min="13827" max="13827" width="21.44140625" customWidth="1"/>
    <col min="13828" max="13828" width="29.6640625" customWidth="1"/>
    <col min="13829" max="13829" width="18" customWidth="1"/>
    <col min="13831" max="13831" width="21.33203125" bestFit="1" customWidth="1"/>
    <col min="13832" max="13832" width="19.77734375" customWidth="1"/>
    <col min="14081" max="14081" width="13.5546875" customWidth="1"/>
    <col min="14082" max="14082" width="16.109375" customWidth="1"/>
    <col min="14083" max="14083" width="21.44140625" customWidth="1"/>
    <col min="14084" max="14084" width="29.6640625" customWidth="1"/>
    <col min="14085" max="14085" width="18" customWidth="1"/>
    <col min="14087" max="14087" width="21.33203125" bestFit="1" customWidth="1"/>
    <col min="14088" max="14088" width="19.77734375" customWidth="1"/>
    <col min="14337" max="14337" width="13.5546875" customWidth="1"/>
    <col min="14338" max="14338" width="16.109375" customWidth="1"/>
    <col min="14339" max="14339" width="21.44140625" customWidth="1"/>
    <col min="14340" max="14340" width="29.6640625" customWidth="1"/>
    <col min="14341" max="14341" width="18" customWidth="1"/>
    <col min="14343" max="14343" width="21.33203125" bestFit="1" customWidth="1"/>
    <col min="14344" max="14344" width="19.77734375" customWidth="1"/>
    <col min="14593" max="14593" width="13.5546875" customWidth="1"/>
    <col min="14594" max="14594" width="16.109375" customWidth="1"/>
    <col min="14595" max="14595" width="21.44140625" customWidth="1"/>
    <col min="14596" max="14596" width="29.6640625" customWidth="1"/>
    <col min="14597" max="14597" width="18" customWidth="1"/>
    <col min="14599" max="14599" width="21.33203125" bestFit="1" customWidth="1"/>
    <col min="14600" max="14600" width="19.77734375" customWidth="1"/>
    <col min="14849" max="14849" width="13.5546875" customWidth="1"/>
    <col min="14850" max="14850" width="16.109375" customWidth="1"/>
    <col min="14851" max="14851" width="21.44140625" customWidth="1"/>
    <col min="14852" max="14852" width="29.6640625" customWidth="1"/>
    <col min="14853" max="14853" width="18" customWidth="1"/>
    <col min="14855" max="14855" width="21.33203125" bestFit="1" customWidth="1"/>
    <col min="14856" max="14856" width="19.77734375" customWidth="1"/>
    <col min="15105" max="15105" width="13.5546875" customWidth="1"/>
    <col min="15106" max="15106" width="16.109375" customWidth="1"/>
    <col min="15107" max="15107" width="21.44140625" customWidth="1"/>
    <col min="15108" max="15108" width="29.6640625" customWidth="1"/>
    <col min="15109" max="15109" width="18" customWidth="1"/>
    <col min="15111" max="15111" width="21.33203125" bestFit="1" customWidth="1"/>
    <col min="15112" max="15112" width="19.77734375" customWidth="1"/>
    <col min="15361" max="15361" width="13.5546875" customWidth="1"/>
    <col min="15362" max="15362" width="16.109375" customWidth="1"/>
    <col min="15363" max="15363" width="21.44140625" customWidth="1"/>
    <col min="15364" max="15364" width="29.6640625" customWidth="1"/>
    <col min="15365" max="15365" width="18" customWidth="1"/>
    <col min="15367" max="15367" width="21.33203125" bestFit="1" customWidth="1"/>
    <col min="15368" max="15368" width="19.77734375" customWidth="1"/>
    <col min="15617" max="15617" width="13.5546875" customWidth="1"/>
    <col min="15618" max="15618" width="16.109375" customWidth="1"/>
    <col min="15619" max="15619" width="21.44140625" customWidth="1"/>
    <col min="15620" max="15620" width="29.6640625" customWidth="1"/>
    <col min="15621" max="15621" width="18" customWidth="1"/>
    <col min="15623" max="15623" width="21.33203125" bestFit="1" customWidth="1"/>
    <col min="15624" max="15624" width="19.77734375" customWidth="1"/>
    <col min="15873" max="15873" width="13.5546875" customWidth="1"/>
    <col min="15874" max="15874" width="16.109375" customWidth="1"/>
    <col min="15875" max="15875" width="21.44140625" customWidth="1"/>
    <col min="15876" max="15876" width="29.6640625" customWidth="1"/>
    <col min="15877" max="15877" width="18" customWidth="1"/>
    <col min="15879" max="15879" width="21.33203125" bestFit="1" customWidth="1"/>
    <col min="15880" max="15880" width="19.77734375" customWidth="1"/>
    <col min="16129" max="16129" width="13.5546875" customWidth="1"/>
    <col min="16130" max="16130" width="16.109375" customWidth="1"/>
    <col min="16131" max="16131" width="21.44140625" customWidth="1"/>
    <col min="16132" max="16132" width="29.6640625" customWidth="1"/>
    <col min="16133" max="16133" width="18" customWidth="1"/>
    <col min="16135" max="16135" width="21.33203125" bestFit="1" customWidth="1"/>
    <col min="16136" max="16136" width="19.77734375" customWidth="1"/>
  </cols>
  <sheetData>
    <row r="1" spans="1:8" ht="21" x14ac:dyDescent="0.4">
      <c r="A1" s="109" t="s">
        <v>397</v>
      </c>
    </row>
    <row r="2" spans="1:8" ht="21.6" thickBot="1" x14ac:dyDescent="0.45">
      <c r="A2" s="109"/>
    </row>
    <row r="3" spans="1:8" ht="25.2" thickBot="1" x14ac:dyDescent="0.45">
      <c r="A3" s="438" t="s">
        <v>398</v>
      </c>
      <c r="B3" s="439"/>
      <c r="C3" s="439"/>
      <c r="D3" s="439"/>
      <c r="E3" s="439"/>
      <c r="F3" s="439"/>
      <c r="G3" s="439"/>
      <c r="H3" s="440"/>
    </row>
    <row r="4" spans="1:8" s="56" customFormat="1" ht="16.2" thickBot="1" x14ac:dyDescent="0.35">
      <c r="A4" s="111"/>
      <c r="B4" s="112"/>
      <c r="C4" s="112"/>
      <c r="D4" s="112"/>
      <c r="E4" s="113"/>
      <c r="F4" s="57"/>
      <c r="G4" s="113"/>
      <c r="H4" s="113"/>
    </row>
    <row r="5" spans="1:8" ht="28.5" customHeight="1" thickBot="1" x14ac:dyDescent="0.45">
      <c r="A5" s="441" t="s">
        <v>394</v>
      </c>
      <c r="B5" s="442"/>
      <c r="C5" s="442"/>
      <c r="D5" s="443"/>
      <c r="E5" s="114"/>
      <c r="F5" s="444"/>
      <c r="G5" s="445"/>
      <c r="H5" s="115"/>
    </row>
    <row r="6" spans="1:8" ht="15" thickBot="1" x14ac:dyDescent="0.35">
      <c r="A6" s="116"/>
      <c r="B6" s="117"/>
      <c r="C6" s="117"/>
      <c r="D6" s="117"/>
      <c r="E6" s="118"/>
      <c r="F6" s="119"/>
      <c r="G6" s="118"/>
      <c r="H6" s="120"/>
    </row>
    <row r="7" spans="1:8" ht="18" thickBot="1" x14ac:dyDescent="0.35">
      <c r="A7" s="435" t="s">
        <v>170</v>
      </c>
      <c r="B7" s="436"/>
      <c r="C7" s="436"/>
      <c r="D7" s="436"/>
      <c r="E7" s="436"/>
      <c r="F7" s="436"/>
      <c r="G7" s="436"/>
      <c r="H7" s="437"/>
    </row>
    <row r="8" spans="1:8" ht="29.4" thickBot="1" x14ac:dyDescent="0.35">
      <c r="A8" s="121" t="s">
        <v>171</v>
      </c>
      <c r="B8" s="122" t="s">
        <v>172</v>
      </c>
      <c r="C8" s="122" t="s">
        <v>173</v>
      </c>
      <c r="D8" s="122" t="s">
        <v>174</v>
      </c>
      <c r="E8" s="122" t="s">
        <v>175</v>
      </c>
      <c r="F8" s="123" t="s">
        <v>176</v>
      </c>
      <c r="G8" s="124" t="s">
        <v>177</v>
      </c>
      <c r="H8" s="125" t="s">
        <v>178</v>
      </c>
    </row>
    <row r="9" spans="1:8" ht="21" x14ac:dyDescent="0.3">
      <c r="A9" s="126" t="s">
        <v>179</v>
      </c>
      <c r="B9" s="127"/>
      <c r="C9" s="127"/>
      <c r="D9" s="127"/>
      <c r="E9" s="128"/>
      <c r="F9" s="408"/>
      <c r="G9" s="129"/>
      <c r="H9" s="129"/>
    </row>
    <row r="10" spans="1:8" ht="20.399999999999999" x14ac:dyDescent="0.3">
      <c r="A10" s="130" t="s">
        <v>180</v>
      </c>
      <c r="B10" s="147" t="s">
        <v>181</v>
      </c>
      <c r="C10" s="151" t="s">
        <v>182</v>
      </c>
      <c r="D10" s="147" t="s">
        <v>183</v>
      </c>
      <c r="E10" s="286" t="s">
        <v>320</v>
      </c>
      <c r="F10" s="131">
        <v>164</v>
      </c>
      <c r="G10" s="132" t="s">
        <v>184</v>
      </c>
      <c r="H10" s="133"/>
    </row>
    <row r="11" spans="1:8" ht="15" thickBot="1" x14ac:dyDescent="0.35">
      <c r="A11" s="134" t="s">
        <v>180</v>
      </c>
      <c r="B11" s="184" t="s">
        <v>185</v>
      </c>
      <c r="C11" s="153" t="s">
        <v>186</v>
      </c>
      <c r="D11" s="325" t="s">
        <v>187</v>
      </c>
      <c r="E11" s="319" t="s">
        <v>188</v>
      </c>
      <c r="F11" s="326">
        <v>8</v>
      </c>
      <c r="G11" s="135" t="s">
        <v>75</v>
      </c>
      <c r="H11" s="136"/>
    </row>
    <row r="12" spans="1:8" x14ac:dyDescent="0.3">
      <c r="A12" s="137" t="s">
        <v>190</v>
      </c>
      <c r="B12" s="358"/>
      <c r="C12" s="358"/>
      <c r="D12" s="358"/>
      <c r="E12" s="359"/>
      <c r="F12" s="138"/>
      <c r="G12" s="360"/>
      <c r="H12" s="139"/>
    </row>
    <row r="13" spans="1:8" x14ac:dyDescent="0.3">
      <c r="A13" s="140" t="s">
        <v>180</v>
      </c>
      <c r="B13" s="141" t="s">
        <v>191</v>
      </c>
      <c r="C13" s="142" t="s">
        <v>192</v>
      </c>
      <c r="D13" s="142" t="s">
        <v>193</v>
      </c>
      <c r="E13" s="143" t="s">
        <v>321</v>
      </c>
      <c r="F13" s="144">
        <v>53</v>
      </c>
      <c r="G13" s="145" t="s">
        <v>194</v>
      </c>
      <c r="H13" s="146"/>
    </row>
    <row r="14" spans="1:8" ht="15" thickBot="1" x14ac:dyDescent="0.35">
      <c r="A14" s="140" t="s">
        <v>180</v>
      </c>
      <c r="B14" s="141" t="s">
        <v>191</v>
      </c>
      <c r="C14" s="147" t="s">
        <v>195</v>
      </c>
      <c r="D14" s="141" t="s">
        <v>196</v>
      </c>
      <c r="E14" s="143" t="s">
        <v>197</v>
      </c>
      <c r="F14" s="144">
        <v>28</v>
      </c>
      <c r="G14" s="145" t="s">
        <v>194</v>
      </c>
      <c r="H14" s="146"/>
    </row>
    <row r="15" spans="1:8" x14ac:dyDescent="0.3">
      <c r="A15" s="148" t="s">
        <v>198</v>
      </c>
      <c r="B15" s="361"/>
      <c r="C15" s="361"/>
      <c r="D15" s="361"/>
      <c r="E15" s="362"/>
      <c r="F15" s="149"/>
      <c r="G15" s="363"/>
      <c r="H15" s="150"/>
    </row>
    <row r="16" spans="1:8" x14ac:dyDescent="0.3">
      <c r="A16" s="140" t="s">
        <v>180</v>
      </c>
      <c r="B16" s="151" t="s">
        <v>199</v>
      </c>
      <c r="C16" s="142" t="s">
        <v>200</v>
      </c>
      <c r="D16" s="142" t="s">
        <v>201</v>
      </c>
      <c r="E16" s="152" t="s">
        <v>322</v>
      </c>
      <c r="F16" s="131">
        <v>65</v>
      </c>
      <c r="G16" s="145" t="s">
        <v>202</v>
      </c>
      <c r="H16" s="146"/>
    </row>
    <row r="17" spans="1:10" ht="15" thickBot="1" x14ac:dyDescent="0.35">
      <c r="A17" s="140" t="s">
        <v>180</v>
      </c>
      <c r="B17" s="153" t="s">
        <v>199</v>
      </c>
      <c r="C17" s="154" t="s">
        <v>203</v>
      </c>
      <c r="D17" s="154" t="s">
        <v>204</v>
      </c>
      <c r="E17" s="155" t="s">
        <v>205</v>
      </c>
      <c r="F17" s="156">
        <v>86</v>
      </c>
      <c r="G17" s="145" t="s">
        <v>202</v>
      </c>
      <c r="H17" s="146"/>
    </row>
    <row r="18" spans="1:10" x14ac:dyDescent="0.3">
      <c r="A18" s="148" t="s">
        <v>206</v>
      </c>
      <c r="B18" s="361"/>
      <c r="C18" s="361"/>
      <c r="D18" s="361"/>
      <c r="E18" s="362"/>
      <c r="F18" s="149"/>
      <c r="G18" s="364"/>
      <c r="H18" s="157"/>
    </row>
    <row r="19" spans="1:10" ht="15" thickBot="1" x14ac:dyDescent="0.35">
      <c r="A19" s="158" t="s">
        <v>180</v>
      </c>
      <c r="B19" s="153" t="s">
        <v>207</v>
      </c>
      <c r="C19" s="154" t="s">
        <v>208</v>
      </c>
      <c r="D19" s="154" t="s">
        <v>209</v>
      </c>
      <c r="E19" s="159" t="s">
        <v>163</v>
      </c>
      <c r="F19" s="156">
        <v>52</v>
      </c>
      <c r="G19" s="160" t="s">
        <v>210</v>
      </c>
      <c r="H19" s="161"/>
    </row>
    <row r="20" spans="1:10" ht="15" thickBot="1" x14ac:dyDescent="0.35">
      <c r="B20" s="162"/>
      <c r="C20" s="163"/>
      <c r="D20" s="163"/>
      <c r="E20" s="164" t="s">
        <v>211</v>
      </c>
      <c r="F20" s="165">
        <f>SUM(F10:F11,F13:F14,F16:F17,F19)</f>
        <v>456</v>
      </c>
      <c r="G20" s="166"/>
      <c r="H20" s="167"/>
    </row>
    <row r="21" spans="1:10" ht="18" thickBot="1" x14ac:dyDescent="0.35">
      <c r="A21" s="435" t="s">
        <v>212</v>
      </c>
      <c r="B21" s="436"/>
      <c r="C21" s="436"/>
      <c r="D21" s="436"/>
      <c r="E21" s="436"/>
      <c r="F21" s="436"/>
      <c r="G21" s="436"/>
      <c r="H21" s="437"/>
    </row>
    <row r="22" spans="1:10" ht="29.4" thickBot="1" x14ac:dyDescent="0.35">
      <c r="A22" s="121" t="s">
        <v>213</v>
      </c>
      <c r="B22" s="122" t="s">
        <v>172</v>
      </c>
      <c r="C22" s="122" t="s">
        <v>173</v>
      </c>
      <c r="D22" s="122" t="s">
        <v>174</v>
      </c>
      <c r="E22" s="122" t="s">
        <v>175</v>
      </c>
      <c r="F22" s="123" t="s">
        <v>176</v>
      </c>
      <c r="G22" s="124" t="s">
        <v>177</v>
      </c>
      <c r="H22" s="125" t="s">
        <v>178</v>
      </c>
    </row>
    <row r="23" spans="1:10" ht="21" x14ac:dyDescent="0.3">
      <c r="A23" s="126" t="s">
        <v>179</v>
      </c>
      <c r="B23" s="127"/>
      <c r="C23" s="127"/>
      <c r="D23" s="127"/>
      <c r="E23" s="128"/>
      <c r="F23" s="409"/>
      <c r="G23" s="129"/>
      <c r="H23" s="129"/>
    </row>
    <row r="24" spans="1:10" ht="44.4" customHeight="1" thickBot="1" x14ac:dyDescent="0.35">
      <c r="A24" s="168" t="s">
        <v>180</v>
      </c>
      <c r="B24" s="169" t="s">
        <v>217</v>
      </c>
      <c r="C24" s="169" t="s">
        <v>335</v>
      </c>
      <c r="D24" s="170" t="s">
        <v>258</v>
      </c>
      <c r="E24" s="403" t="s">
        <v>333</v>
      </c>
      <c r="F24" s="172">
        <v>32</v>
      </c>
      <c r="G24" s="259" t="s">
        <v>189</v>
      </c>
      <c r="H24" s="189" t="s">
        <v>229</v>
      </c>
    </row>
    <row r="25" spans="1:10" ht="34.200000000000003" customHeight="1" x14ac:dyDescent="0.3">
      <c r="A25" s="168" t="s">
        <v>180</v>
      </c>
      <c r="B25" s="169" t="s">
        <v>217</v>
      </c>
      <c r="C25" s="169" t="s">
        <v>218</v>
      </c>
      <c r="D25" s="170" t="s">
        <v>219</v>
      </c>
      <c r="E25" s="403" t="s">
        <v>334</v>
      </c>
      <c r="F25" s="172">
        <v>35</v>
      </c>
      <c r="G25" s="173" t="s">
        <v>300</v>
      </c>
      <c r="H25" s="133"/>
    </row>
    <row r="26" spans="1:10" s="178" customFormat="1" x14ac:dyDescent="0.3">
      <c r="A26" s="174" t="s">
        <v>180</v>
      </c>
      <c r="B26" s="142" t="s">
        <v>214</v>
      </c>
      <c r="C26" s="147" t="s">
        <v>215</v>
      </c>
      <c r="D26" s="175" t="s">
        <v>216</v>
      </c>
      <c r="E26" s="286" t="s">
        <v>296</v>
      </c>
      <c r="F26" s="176">
        <v>17</v>
      </c>
      <c r="G26" s="145" t="s">
        <v>359</v>
      </c>
      <c r="H26" s="132"/>
      <c r="I26" s="177"/>
    </row>
    <row r="27" spans="1:10" ht="15" thickBot="1" x14ac:dyDescent="0.35">
      <c r="A27" s="140" t="s">
        <v>180</v>
      </c>
      <c r="B27" s="240" t="s">
        <v>253</v>
      </c>
      <c r="C27" s="240" t="s">
        <v>288</v>
      </c>
      <c r="D27" s="241" t="s">
        <v>289</v>
      </c>
      <c r="E27" s="404" t="s">
        <v>241</v>
      </c>
      <c r="F27" s="418">
        <v>2</v>
      </c>
      <c r="G27" s="295" t="s">
        <v>189</v>
      </c>
      <c r="H27" s="132"/>
    </row>
    <row r="28" spans="1:10" x14ac:dyDescent="0.3">
      <c r="A28" s="148" t="s">
        <v>190</v>
      </c>
      <c r="B28" s="361"/>
      <c r="C28" s="361"/>
      <c r="D28" s="361"/>
      <c r="E28" s="365"/>
      <c r="F28" s="179"/>
      <c r="G28" s="180"/>
      <c r="H28" s="181"/>
    </row>
    <row r="29" spans="1:10" x14ac:dyDescent="0.3">
      <c r="A29" s="140" t="s">
        <v>180</v>
      </c>
      <c r="B29" s="141" t="s">
        <v>220</v>
      </c>
      <c r="C29" s="147" t="s">
        <v>221</v>
      </c>
      <c r="D29" s="141" t="s">
        <v>336</v>
      </c>
      <c r="E29" s="143" t="s">
        <v>337</v>
      </c>
      <c r="F29" s="334">
        <v>29</v>
      </c>
      <c r="G29" s="145" t="s">
        <v>348</v>
      </c>
      <c r="H29" s="146"/>
      <c r="J29" s="182"/>
    </row>
    <row r="30" spans="1:10" ht="15" thickBot="1" x14ac:dyDescent="0.35">
      <c r="A30" s="183" t="s">
        <v>180</v>
      </c>
      <c r="B30" s="366"/>
      <c r="C30" s="355"/>
      <c r="D30" s="366"/>
      <c r="E30" s="367"/>
      <c r="F30" s="410"/>
      <c r="G30" s="368"/>
      <c r="H30" s="146"/>
    </row>
    <row r="31" spans="1:10" x14ac:dyDescent="0.3">
      <c r="A31" s="148" t="s">
        <v>198</v>
      </c>
      <c r="B31" s="361"/>
      <c r="C31" s="369"/>
      <c r="D31" s="361"/>
      <c r="E31" s="365"/>
      <c r="F31" s="186"/>
      <c r="G31" s="363"/>
      <c r="H31" s="150"/>
    </row>
    <row r="32" spans="1:10" x14ac:dyDescent="0.3">
      <c r="A32" s="140" t="s">
        <v>180</v>
      </c>
      <c r="B32" s="187" t="s">
        <v>222</v>
      </c>
      <c r="C32" s="187" t="s">
        <v>223</v>
      </c>
      <c r="D32" s="187" t="s">
        <v>224</v>
      </c>
      <c r="E32" s="152" t="s">
        <v>225</v>
      </c>
      <c r="F32" s="334">
        <v>35</v>
      </c>
      <c r="G32" s="145" t="s">
        <v>346</v>
      </c>
      <c r="H32" s="146"/>
    </row>
    <row r="33" spans="1:8" ht="21" thickBot="1" x14ac:dyDescent="0.35">
      <c r="A33" s="183" t="s">
        <v>180</v>
      </c>
      <c r="B33" s="187" t="s">
        <v>222</v>
      </c>
      <c r="C33" s="151" t="s">
        <v>226</v>
      </c>
      <c r="D33" s="187" t="s">
        <v>227</v>
      </c>
      <c r="E33" s="152" t="s">
        <v>228</v>
      </c>
      <c r="F33" s="188">
        <v>28</v>
      </c>
      <c r="G33" s="189" t="s">
        <v>347</v>
      </c>
      <c r="H33" s="189" t="s">
        <v>229</v>
      </c>
    </row>
    <row r="34" spans="1:8" x14ac:dyDescent="0.3">
      <c r="A34" s="148" t="s">
        <v>206</v>
      </c>
      <c r="B34" s="361"/>
      <c r="C34" s="361"/>
      <c r="D34" s="361"/>
      <c r="E34" s="365"/>
      <c r="F34" s="186"/>
      <c r="G34" s="180"/>
      <c r="H34" s="157"/>
    </row>
    <row r="35" spans="1:8" x14ac:dyDescent="0.3">
      <c r="A35" s="140" t="s">
        <v>180</v>
      </c>
      <c r="B35" s="147" t="s">
        <v>230</v>
      </c>
      <c r="C35" s="147" t="s">
        <v>231</v>
      </c>
      <c r="D35" s="147" t="s">
        <v>232</v>
      </c>
      <c r="E35" s="152" t="s">
        <v>233</v>
      </c>
      <c r="F35" s="334">
        <v>18</v>
      </c>
      <c r="G35" s="190" t="s">
        <v>210</v>
      </c>
      <c r="H35" s="327"/>
    </row>
    <row r="36" spans="1:8" x14ac:dyDescent="0.3">
      <c r="A36" s="238" t="s">
        <v>180</v>
      </c>
      <c r="B36" s="147" t="s">
        <v>230</v>
      </c>
      <c r="C36" s="147" t="s">
        <v>338</v>
      </c>
      <c r="D36" s="147" t="s">
        <v>339</v>
      </c>
      <c r="E36" s="152" t="s">
        <v>340</v>
      </c>
      <c r="F36" s="411">
        <v>13</v>
      </c>
      <c r="G36" s="419" t="s">
        <v>210</v>
      </c>
      <c r="H36" s="405"/>
    </row>
    <row r="37" spans="1:8" ht="18.600000000000001" customHeight="1" thickBot="1" x14ac:dyDescent="0.35">
      <c r="A37" s="191"/>
      <c r="B37" s="184"/>
      <c r="C37" s="184"/>
      <c r="D37" s="184"/>
      <c r="E37" s="152"/>
      <c r="F37" s="335"/>
      <c r="G37" s="420"/>
      <c r="H37" s="189"/>
    </row>
    <row r="38" spans="1:8" ht="15" thickBot="1" x14ac:dyDescent="0.35">
      <c r="A38" s="192"/>
      <c r="B38" s="162"/>
      <c r="C38" s="163"/>
      <c r="D38" s="163"/>
      <c r="E38" s="193" t="s">
        <v>211</v>
      </c>
      <c r="F38" s="194">
        <f>F24+F26+F29+F32+F33+F35+F37</f>
        <v>159</v>
      </c>
      <c r="G38" s="195"/>
      <c r="H38" s="196"/>
    </row>
    <row r="39" spans="1:8" ht="15" thickBot="1" x14ac:dyDescent="0.35">
      <c r="A39" s="197"/>
      <c r="B39" s="198"/>
      <c r="C39" s="198"/>
      <c r="D39" s="198"/>
      <c r="E39" s="198"/>
      <c r="F39" s="199"/>
      <c r="G39" s="198"/>
      <c r="H39" s="200"/>
    </row>
    <row r="40" spans="1:8" ht="15" thickBot="1" x14ac:dyDescent="0.35">
      <c r="A40" s="201"/>
      <c r="B40" s="202"/>
      <c r="C40" s="202"/>
      <c r="D40" s="202"/>
      <c r="E40" s="202"/>
      <c r="F40" s="203"/>
      <c r="G40" s="202"/>
      <c r="H40" s="204"/>
    </row>
    <row r="41" spans="1:8" ht="40.950000000000003" customHeight="1" thickBot="1" x14ac:dyDescent="0.35">
      <c r="A41" s="446" t="s">
        <v>395</v>
      </c>
      <c r="B41" s="447"/>
      <c r="C41" s="447"/>
      <c r="D41" s="447"/>
      <c r="E41" s="205"/>
      <c r="F41" s="448"/>
      <c r="G41" s="448"/>
      <c r="H41" s="115"/>
    </row>
    <row r="42" spans="1:8" ht="15" thickBot="1" x14ac:dyDescent="0.35">
      <c r="A42" s="116"/>
      <c r="B42" s="117"/>
      <c r="C42" s="117"/>
      <c r="D42" s="117"/>
      <c r="E42" s="117"/>
      <c r="F42" s="206"/>
      <c r="G42" s="117"/>
      <c r="H42" s="207"/>
    </row>
    <row r="43" spans="1:8" ht="18" thickBot="1" x14ac:dyDescent="0.35">
      <c r="A43" s="435" t="s">
        <v>170</v>
      </c>
      <c r="B43" s="436"/>
      <c r="C43" s="436"/>
      <c r="D43" s="436"/>
      <c r="E43" s="436"/>
      <c r="F43" s="436"/>
      <c r="G43" s="436"/>
      <c r="H43" s="437"/>
    </row>
    <row r="44" spans="1:8" ht="29.4" thickBot="1" x14ac:dyDescent="0.35">
      <c r="A44" s="121" t="s">
        <v>213</v>
      </c>
      <c r="B44" s="122" t="s">
        <v>172</v>
      </c>
      <c r="C44" s="122" t="s">
        <v>173</v>
      </c>
      <c r="D44" s="122" t="s">
        <v>174</v>
      </c>
      <c r="E44" s="208" t="s">
        <v>175</v>
      </c>
      <c r="F44" s="209" t="s">
        <v>176</v>
      </c>
      <c r="G44" s="210" t="s">
        <v>177</v>
      </c>
      <c r="H44" s="125" t="s">
        <v>178</v>
      </c>
    </row>
    <row r="45" spans="1:8" ht="21" x14ac:dyDescent="0.3">
      <c r="A45" s="126" t="s">
        <v>179</v>
      </c>
      <c r="B45" s="127"/>
      <c r="C45" s="127"/>
      <c r="D45" s="127"/>
      <c r="E45" s="128"/>
      <c r="F45" s="412"/>
      <c r="G45" s="211"/>
      <c r="H45" s="212"/>
    </row>
    <row r="46" spans="1:8" x14ac:dyDescent="0.3">
      <c r="A46" s="213" t="s">
        <v>236</v>
      </c>
      <c r="B46" s="214" t="s">
        <v>181</v>
      </c>
      <c r="C46" s="214" t="s">
        <v>237</v>
      </c>
      <c r="D46" s="214" t="s">
        <v>238</v>
      </c>
      <c r="E46" s="215" t="s">
        <v>296</v>
      </c>
      <c r="F46" s="216">
        <v>165</v>
      </c>
      <c r="G46" s="400" t="s">
        <v>323</v>
      </c>
      <c r="H46" s="217"/>
    </row>
    <row r="47" spans="1:8" ht="15" thickBot="1" x14ac:dyDescent="0.35">
      <c r="A47" s="218" t="s">
        <v>236</v>
      </c>
      <c r="B47" s="219" t="s">
        <v>185</v>
      </c>
      <c r="C47" s="220" t="s">
        <v>239</v>
      </c>
      <c r="D47" s="220" t="s">
        <v>240</v>
      </c>
      <c r="E47" s="221" t="s">
        <v>241</v>
      </c>
      <c r="F47" s="328">
        <v>7</v>
      </c>
      <c r="G47" s="329" t="s">
        <v>75</v>
      </c>
      <c r="H47" s="222"/>
    </row>
    <row r="48" spans="1:8" x14ac:dyDescent="0.3">
      <c r="A48" s="223" t="s">
        <v>190</v>
      </c>
      <c r="B48" s="361"/>
      <c r="C48" s="369"/>
      <c r="D48" s="369"/>
      <c r="E48" s="372"/>
      <c r="F48" s="413"/>
      <c r="G48" s="373"/>
      <c r="H48" s="224"/>
    </row>
    <row r="49" spans="1:8" x14ac:dyDescent="0.3">
      <c r="A49" s="225" t="s">
        <v>236</v>
      </c>
      <c r="B49" s="214" t="s">
        <v>191</v>
      </c>
      <c r="C49" s="226" t="s">
        <v>242</v>
      </c>
      <c r="D49" s="226" t="s">
        <v>243</v>
      </c>
      <c r="E49" s="227" t="s">
        <v>324</v>
      </c>
      <c r="F49" s="330">
        <v>63</v>
      </c>
      <c r="G49" s="236" t="s">
        <v>194</v>
      </c>
      <c r="H49" s="132" t="s">
        <v>229</v>
      </c>
    </row>
    <row r="50" spans="1:8" ht="15" thickBot="1" x14ac:dyDescent="0.35">
      <c r="A50" s="229" t="s">
        <v>236</v>
      </c>
      <c r="B50" s="219" t="s">
        <v>191</v>
      </c>
      <c r="C50" s="230" t="s">
        <v>244</v>
      </c>
      <c r="D50" s="230" t="s">
        <v>245</v>
      </c>
      <c r="E50" s="231" t="s">
        <v>325</v>
      </c>
      <c r="F50" s="328">
        <v>40</v>
      </c>
      <c r="G50" s="232" t="s">
        <v>194</v>
      </c>
      <c r="H50" s="233"/>
    </row>
    <row r="51" spans="1:8" x14ac:dyDescent="0.3">
      <c r="A51" s="234" t="s">
        <v>198</v>
      </c>
      <c r="B51" s="375"/>
      <c r="C51" s="376"/>
      <c r="D51" s="376"/>
      <c r="E51" s="377"/>
      <c r="F51" s="414"/>
      <c r="G51" s="378"/>
      <c r="H51" s="235"/>
    </row>
    <row r="52" spans="1:8" x14ac:dyDescent="0.3">
      <c r="A52" s="225" t="s">
        <v>236</v>
      </c>
      <c r="B52" s="151" t="s">
        <v>199</v>
      </c>
      <c r="C52" s="169" t="s">
        <v>246</v>
      </c>
      <c r="D52" s="226" t="s">
        <v>247</v>
      </c>
      <c r="E52" s="171" t="s">
        <v>324</v>
      </c>
      <c r="F52" s="330">
        <v>121</v>
      </c>
      <c r="G52" s="236" t="s">
        <v>202</v>
      </c>
      <c r="H52" s="237"/>
    </row>
    <row r="53" spans="1:8" ht="15" thickBot="1" x14ac:dyDescent="0.35">
      <c r="A53" s="238" t="s">
        <v>236</v>
      </c>
      <c r="B53" s="239" t="s">
        <v>199</v>
      </c>
      <c r="C53" s="240" t="s">
        <v>248</v>
      </c>
      <c r="D53" s="241" t="s">
        <v>249</v>
      </c>
      <c r="E53" s="242" t="s">
        <v>325</v>
      </c>
      <c r="F53" s="243">
        <v>38</v>
      </c>
      <c r="G53" s="244" t="s">
        <v>202</v>
      </c>
      <c r="H53" s="228"/>
    </row>
    <row r="54" spans="1:8" x14ac:dyDescent="0.3">
      <c r="A54" s="148" t="s">
        <v>206</v>
      </c>
      <c r="B54" s="361"/>
      <c r="C54" s="361"/>
      <c r="D54" s="361"/>
      <c r="E54" s="379"/>
      <c r="F54" s="415"/>
      <c r="G54" s="380"/>
      <c r="H54" s="246"/>
    </row>
    <row r="55" spans="1:8" x14ac:dyDescent="0.3">
      <c r="A55" s="225" t="s">
        <v>236</v>
      </c>
      <c r="B55" s="267" t="s">
        <v>207</v>
      </c>
      <c r="C55" s="267" t="s">
        <v>250</v>
      </c>
      <c r="D55" s="267" t="s">
        <v>251</v>
      </c>
      <c r="E55" s="268" t="s">
        <v>252</v>
      </c>
      <c r="F55" s="402">
        <v>17</v>
      </c>
      <c r="G55" s="422" t="s">
        <v>210</v>
      </c>
      <c r="H55" s="401"/>
    </row>
    <row r="56" spans="1:8" ht="15" thickBot="1" x14ac:dyDescent="0.35">
      <c r="A56" s="229" t="s">
        <v>236</v>
      </c>
      <c r="B56" s="247" t="s">
        <v>207</v>
      </c>
      <c r="C56" s="220" t="s">
        <v>326</v>
      </c>
      <c r="D56" s="220" t="s">
        <v>327</v>
      </c>
      <c r="E56" s="248" t="s">
        <v>328</v>
      </c>
      <c r="F56" s="331">
        <v>41</v>
      </c>
      <c r="G56" s="249" t="s">
        <v>210</v>
      </c>
      <c r="H56" s="250"/>
    </row>
    <row r="57" spans="1:8" ht="15" thickBot="1" x14ac:dyDescent="0.35">
      <c r="A57" s="192"/>
      <c r="B57" s="162"/>
      <c r="C57" s="163"/>
      <c r="D57" s="163"/>
      <c r="E57" s="164" t="s">
        <v>211</v>
      </c>
      <c r="F57" s="165">
        <f>SUM(F46:F56)</f>
        <v>492</v>
      </c>
      <c r="G57" s="166"/>
      <c r="H57" s="196"/>
    </row>
    <row r="58" spans="1:8" ht="18" thickBot="1" x14ac:dyDescent="0.35">
      <c r="A58" s="435" t="s">
        <v>212</v>
      </c>
      <c r="B58" s="436"/>
      <c r="C58" s="436"/>
      <c r="D58" s="436"/>
      <c r="E58" s="436"/>
      <c r="F58" s="436"/>
      <c r="G58" s="436"/>
      <c r="H58" s="437"/>
    </row>
    <row r="59" spans="1:8" ht="29.4" thickBot="1" x14ac:dyDescent="0.35">
      <c r="A59" s="251" t="s">
        <v>213</v>
      </c>
      <c r="B59" s="252" t="s">
        <v>172</v>
      </c>
      <c r="C59" s="252" t="s">
        <v>173</v>
      </c>
      <c r="D59" s="252" t="s">
        <v>174</v>
      </c>
      <c r="E59" s="252" t="s">
        <v>175</v>
      </c>
      <c r="F59" s="253" t="s">
        <v>176</v>
      </c>
      <c r="G59" s="254" t="s">
        <v>177</v>
      </c>
      <c r="H59" s="125" t="s">
        <v>178</v>
      </c>
    </row>
    <row r="60" spans="1:8" ht="21" x14ac:dyDescent="0.3">
      <c r="A60" s="126" t="s">
        <v>179</v>
      </c>
      <c r="B60" s="245"/>
      <c r="C60" s="245"/>
      <c r="D60" s="245"/>
      <c r="E60" s="255"/>
      <c r="F60" s="409"/>
      <c r="G60" s="129"/>
      <c r="H60" s="129"/>
    </row>
    <row r="61" spans="1:8" x14ac:dyDescent="0.3">
      <c r="A61" s="140" t="s">
        <v>236</v>
      </c>
      <c r="B61" s="142" t="s">
        <v>253</v>
      </c>
      <c r="C61" s="175" t="s">
        <v>254</v>
      </c>
      <c r="D61" s="175" t="s">
        <v>255</v>
      </c>
      <c r="E61" s="152" t="s">
        <v>298</v>
      </c>
      <c r="F61" s="337">
        <v>0</v>
      </c>
      <c r="G61" s="382"/>
      <c r="H61" s="132"/>
    </row>
    <row r="62" spans="1:8" x14ac:dyDescent="0.3">
      <c r="A62" s="225" t="s">
        <v>236</v>
      </c>
      <c r="B62" s="142" t="s">
        <v>214</v>
      </c>
      <c r="C62" s="175" t="s">
        <v>256</v>
      </c>
      <c r="D62" s="175" t="s">
        <v>257</v>
      </c>
      <c r="E62" s="287" t="s">
        <v>298</v>
      </c>
      <c r="F62" s="257">
        <v>60</v>
      </c>
      <c r="G62" s="421" t="s">
        <v>315</v>
      </c>
      <c r="H62" s="132"/>
    </row>
    <row r="63" spans="1:8" s="118" customFormat="1" x14ac:dyDescent="0.25">
      <c r="A63" s="234" t="s">
        <v>190</v>
      </c>
      <c r="B63" s="358"/>
      <c r="C63" s="358"/>
      <c r="D63" s="358"/>
      <c r="E63" s="383"/>
      <c r="F63" s="260"/>
      <c r="G63" s="360"/>
      <c r="H63" s="261"/>
    </row>
    <row r="64" spans="1:8" x14ac:dyDescent="0.3">
      <c r="A64" s="140" t="s">
        <v>236</v>
      </c>
      <c r="B64" s="214" t="s">
        <v>220</v>
      </c>
      <c r="C64" s="169" t="s">
        <v>259</v>
      </c>
      <c r="D64" s="214" t="s">
        <v>260</v>
      </c>
      <c r="E64" s="171" t="s">
        <v>168</v>
      </c>
      <c r="F64" s="257">
        <v>21</v>
      </c>
      <c r="G64" s="132" t="s">
        <v>300</v>
      </c>
      <c r="H64" s="262"/>
    </row>
    <row r="65" spans="1:9" ht="15" thickBot="1" x14ac:dyDescent="0.35">
      <c r="A65" s="158" t="s">
        <v>236</v>
      </c>
      <c r="B65" s="371"/>
      <c r="C65" s="374"/>
      <c r="D65" s="371"/>
      <c r="E65" s="367"/>
      <c r="F65" s="258"/>
      <c r="G65" s="370"/>
      <c r="H65" s="263"/>
    </row>
    <row r="66" spans="1:9" x14ac:dyDescent="0.3">
      <c r="A66" s="223" t="s">
        <v>198</v>
      </c>
      <c r="B66" s="384"/>
      <c r="C66" s="361"/>
      <c r="D66" s="361"/>
      <c r="E66" s="365"/>
      <c r="F66" s="264"/>
      <c r="G66" s="385"/>
      <c r="H66" s="129"/>
    </row>
    <row r="67" spans="1:9" ht="15" thickBot="1" x14ac:dyDescent="0.35">
      <c r="A67" s="265" t="s">
        <v>236</v>
      </c>
      <c r="B67" s="266" t="s">
        <v>222</v>
      </c>
      <c r="C67" s="267" t="s">
        <v>261</v>
      </c>
      <c r="D67" s="267" t="s">
        <v>262</v>
      </c>
      <c r="E67" s="268" t="s">
        <v>263</v>
      </c>
      <c r="F67" s="332">
        <v>36</v>
      </c>
      <c r="G67" s="269" t="s">
        <v>346</v>
      </c>
      <c r="H67" s="145" t="s">
        <v>229</v>
      </c>
    </row>
    <row r="68" spans="1:9" x14ac:dyDescent="0.3">
      <c r="A68" s="223" t="s">
        <v>206</v>
      </c>
      <c r="B68" s="361"/>
      <c r="C68" s="361"/>
      <c r="D68" s="361"/>
      <c r="E68" s="365"/>
      <c r="F68" s="416"/>
      <c r="G68" s="180"/>
      <c r="H68" s="270"/>
    </row>
    <row r="69" spans="1:9" x14ac:dyDescent="0.3">
      <c r="A69" s="225" t="s">
        <v>236</v>
      </c>
      <c r="B69" s="226" t="s">
        <v>230</v>
      </c>
      <c r="C69" s="271" t="s">
        <v>264</v>
      </c>
      <c r="D69" s="169" t="s">
        <v>265</v>
      </c>
      <c r="E69" s="171" t="s">
        <v>342</v>
      </c>
      <c r="F69" s="272" t="s">
        <v>344</v>
      </c>
      <c r="G69" s="273" t="s">
        <v>347</v>
      </c>
      <c r="H69" s="132"/>
    </row>
    <row r="70" spans="1:9" ht="15" thickBot="1" x14ac:dyDescent="0.35">
      <c r="A70" s="191" t="s">
        <v>236</v>
      </c>
      <c r="B70" s="184" t="s">
        <v>230</v>
      </c>
      <c r="C70" s="184" t="s">
        <v>234</v>
      </c>
      <c r="D70" s="184" t="s">
        <v>235</v>
      </c>
      <c r="E70" s="152" t="s">
        <v>341</v>
      </c>
      <c r="F70" s="335">
        <v>33</v>
      </c>
      <c r="G70" s="420" t="s">
        <v>345</v>
      </c>
      <c r="H70" s="189"/>
    </row>
    <row r="71" spans="1:9" ht="15" thickBot="1" x14ac:dyDescent="0.35">
      <c r="A71" s="192"/>
      <c r="B71" s="162"/>
      <c r="C71" s="163"/>
      <c r="D71" s="163"/>
      <c r="E71" s="193" t="s">
        <v>211</v>
      </c>
      <c r="F71" s="274">
        <f>SUM(F61:F62,F64:F65,F67,F69:F70)</f>
        <v>150</v>
      </c>
      <c r="G71" s="166"/>
      <c r="H71" s="196"/>
    </row>
    <row r="72" spans="1:9" ht="15" thickBot="1" x14ac:dyDescent="0.35">
      <c r="A72" s="197"/>
      <c r="B72" s="198"/>
      <c r="C72" s="198"/>
      <c r="D72" s="198"/>
      <c r="E72" s="198"/>
      <c r="F72" s="199"/>
      <c r="G72" s="198"/>
      <c r="H72" s="200"/>
    </row>
    <row r="73" spans="1:9" ht="15" thickBot="1" x14ac:dyDescent="0.35">
      <c r="A73" s="275"/>
      <c r="B73" s="276"/>
      <c r="C73" s="277"/>
      <c r="D73" s="277"/>
      <c r="E73" s="277"/>
      <c r="F73" s="278"/>
      <c r="G73" s="279"/>
      <c r="H73" s="280"/>
    </row>
    <row r="74" spans="1:9" ht="26.55" customHeight="1" thickBot="1" x14ac:dyDescent="0.35">
      <c r="A74" s="441" t="s">
        <v>396</v>
      </c>
      <c r="B74" s="442"/>
      <c r="C74" s="442"/>
      <c r="D74" s="443"/>
      <c r="E74" s="205"/>
      <c r="F74" s="444"/>
      <c r="G74" s="445"/>
      <c r="H74" s="281"/>
      <c r="I74" s="282"/>
    </row>
    <row r="75" spans="1:9" ht="21.6" thickBot="1" x14ac:dyDescent="0.45">
      <c r="A75" s="283"/>
      <c r="H75" s="284"/>
      <c r="I75" s="110"/>
    </row>
    <row r="76" spans="1:9" ht="18" thickBot="1" x14ac:dyDescent="0.35">
      <c r="A76" s="435" t="s">
        <v>170</v>
      </c>
      <c r="B76" s="436"/>
      <c r="C76" s="436"/>
      <c r="D76" s="436"/>
      <c r="E76" s="436"/>
      <c r="F76" s="436"/>
      <c r="G76" s="436"/>
      <c r="H76" s="437"/>
    </row>
    <row r="77" spans="1:9" ht="29.4" thickBot="1" x14ac:dyDescent="0.35">
      <c r="A77" s="121" t="s">
        <v>213</v>
      </c>
      <c r="B77" s="122" t="s">
        <v>172</v>
      </c>
      <c r="C77" s="122" t="s">
        <v>173</v>
      </c>
      <c r="D77" s="122" t="s">
        <v>174</v>
      </c>
      <c r="E77" s="122" t="s">
        <v>175</v>
      </c>
      <c r="F77" s="123" t="s">
        <v>176</v>
      </c>
      <c r="G77" s="124" t="s">
        <v>177</v>
      </c>
      <c r="H77" s="125" t="s">
        <v>178</v>
      </c>
    </row>
    <row r="78" spans="1:9" ht="21" x14ac:dyDescent="0.3">
      <c r="A78" s="126" t="s">
        <v>179</v>
      </c>
      <c r="B78" s="127"/>
      <c r="C78" s="127"/>
      <c r="D78" s="127"/>
      <c r="E78" s="128"/>
      <c r="F78" s="408"/>
      <c r="G78" s="129"/>
      <c r="H78" s="285"/>
    </row>
    <row r="79" spans="1:9" ht="20.399999999999999" x14ac:dyDescent="0.3">
      <c r="A79" s="140" t="s">
        <v>266</v>
      </c>
      <c r="B79" s="141" t="s">
        <v>181</v>
      </c>
      <c r="C79" s="141" t="s">
        <v>267</v>
      </c>
      <c r="D79" s="142" t="s">
        <v>268</v>
      </c>
      <c r="E79" s="286" t="s">
        <v>329</v>
      </c>
      <c r="F79" s="144">
        <v>183</v>
      </c>
      <c r="G79" s="256" t="s">
        <v>202</v>
      </c>
      <c r="H79" s="236"/>
    </row>
    <row r="80" spans="1:9" x14ac:dyDescent="0.3">
      <c r="A80" s="140" t="s">
        <v>266</v>
      </c>
      <c r="B80" s="147" t="s">
        <v>185</v>
      </c>
      <c r="C80" s="175" t="s">
        <v>269</v>
      </c>
      <c r="D80" s="151" t="s">
        <v>270</v>
      </c>
      <c r="E80" s="287" t="s">
        <v>271</v>
      </c>
      <c r="F80" s="144">
        <v>8</v>
      </c>
      <c r="G80" s="256" t="s">
        <v>348</v>
      </c>
      <c r="H80" s="236" t="s">
        <v>229</v>
      </c>
    </row>
    <row r="81" spans="1:8" ht="30.6" x14ac:dyDescent="0.3">
      <c r="A81" s="213" t="s">
        <v>266</v>
      </c>
      <c r="B81" s="141" t="s">
        <v>181</v>
      </c>
      <c r="C81" s="141" t="s">
        <v>272</v>
      </c>
      <c r="D81" s="142" t="s">
        <v>273</v>
      </c>
      <c r="E81" s="286" t="s">
        <v>330</v>
      </c>
      <c r="F81" s="144">
        <v>86</v>
      </c>
      <c r="G81" s="132" t="s">
        <v>349</v>
      </c>
      <c r="H81" s="288"/>
    </row>
    <row r="82" spans="1:8" ht="13.8" customHeight="1" thickBot="1" x14ac:dyDescent="0.35">
      <c r="A82" s="158" t="s">
        <v>266</v>
      </c>
      <c r="B82" s="219" t="s">
        <v>185</v>
      </c>
      <c r="C82" s="230" t="s">
        <v>274</v>
      </c>
      <c r="D82" s="230" t="s">
        <v>275</v>
      </c>
      <c r="E82" s="185" t="s">
        <v>271</v>
      </c>
      <c r="F82" s="289">
        <v>7</v>
      </c>
      <c r="G82" s="189" t="s">
        <v>348</v>
      </c>
      <c r="H82" s="290" t="s">
        <v>229</v>
      </c>
    </row>
    <row r="83" spans="1:8" x14ac:dyDescent="0.3">
      <c r="A83" s="223" t="s">
        <v>190</v>
      </c>
      <c r="B83" s="361"/>
      <c r="C83" s="386"/>
      <c r="D83" s="361"/>
      <c r="E83" s="362"/>
      <c r="F83" s="149"/>
      <c r="G83" s="291"/>
      <c r="H83" s="291"/>
    </row>
    <row r="84" spans="1:8" x14ac:dyDescent="0.3">
      <c r="A84" s="140" t="s">
        <v>266</v>
      </c>
      <c r="B84" s="214" t="s">
        <v>191</v>
      </c>
      <c r="C84" s="333" t="s">
        <v>276</v>
      </c>
      <c r="D84" s="170" t="s">
        <v>277</v>
      </c>
      <c r="E84" s="292" t="s">
        <v>331</v>
      </c>
      <c r="F84" s="144">
        <v>53</v>
      </c>
      <c r="G84" s="273" t="s">
        <v>194</v>
      </c>
      <c r="H84" s="132"/>
    </row>
    <row r="85" spans="1:8" ht="15" thickBot="1" x14ac:dyDescent="0.35">
      <c r="A85" s="158" t="s">
        <v>266</v>
      </c>
      <c r="B85" s="219" t="s">
        <v>191</v>
      </c>
      <c r="C85" s="247" t="s">
        <v>278</v>
      </c>
      <c r="D85" s="219" t="s">
        <v>279</v>
      </c>
      <c r="E85" s="293" t="s">
        <v>332</v>
      </c>
      <c r="F85" s="336">
        <v>0</v>
      </c>
      <c r="G85" s="294"/>
      <c r="H85" s="295"/>
    </row>
    <row r="86" spans="1:8" x14ac:dyDescent="0.3">
      <c r="A86" s="223" t="s">
        <v>198</v>
      </c>
      <c r="B86" s="361"/>
      <c r="C86" s="386"/>
      <c r="D86" s="361"/>
      <c r="E86" s="362"/>
      <c r="F86" s="149"/>
      <c r="G86" s="387"/>
      <c r="H86" s="291"/>
    </row>
    <row r="87" spans="1:8" ht="15" thickBot="1" x14ac:dyDescent="0.35">
      <c r="A87" s="229"/>
      <c r="B87" s="356"/>
      <c r="C87" s="356"/>
      <c r="D87" s="356"/>
      <c r="E87" s="388"/>
      <c r="F87" s="296"/>
      <c r="G87" s="297"/>
      <c r="H87" s="298"/>
    </row>
    <row r="88" spans="1:8" x14ac:dyDescent="0.3">
      <c r="A88" s="299" t="s">
        <v>206</v>
      </c>
      <c r="B88" s="389"/>
      <c r="C88" s="386"/>
      <c r="D88" s="361"/>
      <c r="E88" s="390"/>
      <c r="F88" s="300"/>
      <c r="G88" s="364"/>
      <c r="H88" s="301"/>
    </row>
    <row r="89" spans="1:8" x14ac:dyDescent="0.3">
      <c r="A89" s="225" t="s">
        <v>266</v>
      </c>
      <c r="B89" s="147" t="s">
        <v>207</v>
      </c>
      <c r="C89" s="147" t="s">
        <v>280</v>
      </c>
      <c r="D89" s="147" t="s">
        <v>281</v>
      </c>
      <c r="E89" s="286" t="s">
        <v>282</v>
      </c>
      <c r="F89" s="144">
        <v>49</v>
      </c>
      <c r="G89" s="132" t="s">
        <v>210</v>
      </c>
      <c r="H89" s="146"/>
    </row>
    <row r="90" spans="1:8" ht="21" thickBot="1" x14ac:dyDescent="0.35">
      <c r="A90" s="229" t="s">
        <v>266</v>
      </c>
      <c r="B90" s="302" t="s">
        <v>207</v>
      </c>
      <c r="C90" s="303" t="s">
        <v>299</v>
      </c>
      <c r="D90" s="303" t="s">
        <v>283</v>
      </c>
      <c r="E90" s="286" t="s">
        <v>284</v>
      </c>
      <c r="F90" s="304">
        <v>50</v>
      </c>
      <c r="G90" s="189" t="s">
        <v>189</v>
      </c>
      <c r="H90" s="305" t="s">
        <v>229</v>
      </c>
    </row>
    <row r="91" spans="1:8" ht="15" thickBot="1" x14ac:dyDescent="0.35">
      <c r="A91" s="192"/>
      <c r="B91" s="162"/>
      <c r="C91" s="163"/>
      <c r="D91" s="163"/>
      <c r="E91" s="164" t="s">
        <v>211</v>
      </c>
      <c r="F91" s="165">
        <f>SUM(F79:F82,F84:F85,F89:F90)</f>
        <v>436</v>
      </c>
      <c r="G91" s="166"/>
      <c r="H91" s="196"/>
    </row>
    <row r="92" spans="1:8" ht="18" thickBot="1" x14ac:dyDescent="0.35">
      <c r="A92" s="435" t="s">
        <v>212</v>
      </c>
      <c r="B92" s="436"/>
      <c r="C92" s="436"/>
      <c r="D92" s="436"/>
      <c r="E92" s="436"/>
      <c r="F92" s="436"/>
      <c r="G92" s="436"/>
      <c r="H92" s="437"/>
    </row>
    <row r="93" spans="1:8" ht="29.4" thickBot="1" x14ac:dyDescent="0.35">
      <c r="A93" s="121" t="s">
        <v>213</v>
      </c>
      <c r="B93" s="122" t="s">
        <v>172</v>
      </c>
      <c r="C93" s="122" t="s">
        <v>173</v>
      </c>
      <c r="D93" s="122" t="s">
        <v>174</v>
      </c>
      <c r="E93" s="122" t="s">
        <v>175</v>
      </c>
      <c r="F93" s="123" t="s">
        <v>176</v>
      </c>
      <c r="G93" s="124" t="s">
        <v>177</v>
      </c>
      <c r="H93" s="125" t="s">
        <v>178</v>
      </c>
    </row>
    <row r="94" spans="1:8" x14ac:dyDescent="0.3">
      <c r="A94" s="126" t="s">
        <v>179</v>
      </c>
      <c r="B94" s="306"/>
      <c r="C94" s="306"/>
      <c r="D94" s="306"/>
      <c r="E94" s="307"/>
      <c r="F94" s="417"/>
      <c r="G94" s="285"/>
      <c r="H94" s="129"/>
    </row>
    <row r="95" spans="1:8" x14ac:dyDescent="0.3">
      <c r="A95" s="140" t="s">
        <v>266</v>
      </c>
      <c r="B95" s="226" t="s">
        <v>285</v>
      </c>
      <c r="C95" s="170" t="s">
        <v>286</v>
      </c>
      <c r="D95" s="170" t="s">
        <v>287</v>
      </c>
      <c r="E95" s="308" t="s">
        <v>296</v>
      </c>
      <c r="F95" s="309">
        <v>51</v>
      </c>
      <c r="G95" s="310" t="s">
        <v>350</v>
      </c>
      <c r="H95" s="391"/>
    </row>
    <row r="96" spans="1:8" ht="15" thickBot="1" x14ac:dyDescent="0.35">
      <c r="A96" s="158"/>
      <c r="B96" s="371"/>
      <c r="C96" s="381"/>
      <c r="D96" s="381"/>
      <c r="E96" s="392"/>
      <c r="F96" s="188"/>
      <c r="G96" s="311"/>
      <c r="H96" s="393"/>
    </row>
    <row r="97" spans="1:8" ht="20.399999999999999" x14ac:dyDescent="0.3">
      <c r="A97" s="137" t="s">
        <v>190</v>
      </c>
      <c r="B97" s="394"/>
      <c r="C97" s="394"/>
      <c r="D97" s="394"/>
      <c r="E97" s="395"/>
      <c r="F97" s="312"/>
      <c r="G97" s="313"/>
      <c r="H97" s="397"/>
    </row>
    <row r="98" spans="1:8" ht="15" customHeight="1" x14ac:dyDescent="0.3">
      <c r="A98" s="314" t="s">
        <v>266</v>
      </c>
      <c r="B98" s="214" t="s">
        <v>220</v>
      </c>
      <c r="C98" s="169" t="s">
        <v>290</v>
      </c>
      <c r="D98" s="214" t="s">
        <v>291</v>
      </c>
      <c r="E98" s="406" t="s">
        <v>297</v>
      </c>
      <c r="F98" s="315">
        <v>26</v>
      </c>
      <c r="G98" s="316" t="s">
        <v>194</v>
      </c>
      <c r="H98" s="396" t="s">
        <v>229</v>
      </c>
    </row>
    <row r="99" spans="1:8" ht="15" thickBot="1" x14ac:dyDescent="0.35">
      <c r="A99" s="158" t="s">
        <v>266</v>
      </c>
      <c r="B99" s="184" t="s">
        <v>220</v>
      </c>
      <c r="C99" s="184" t="s">
        <v>292</v>
      </c>
      <c r="D99" s="184" t="s">
        <v>293</v>
      </c>
      <c r="E99" s="407" t="s">
        <v>321</v>
      </c>
      <c r="F99" s="188">
        <v>2</v>
      </c>
      <c r="G99" s="294" t="s">
        <v>63</v>
      </c>
      <c r="H99" s="354"/>
    </row>
    <row r="100" spans="1:8" x14ac:dyDescent="0.3">
      <c r="A100" s="148" t="s">
        <v>198</v>
      </c>
      <c r="B100" s="361"/>
      <c r="C100" s="361"/>
      <c r="D100" s="361"/>
      <c r="E100" s="365"/>
      <c r="F100" s="317"/>
      <c r="G100" s="387"/>
      <c r="H100" s="398"/>
    </row>
    <row r="101" spans="1:8" ht="15" thickBot="1" x14ac:dyDescent="0.35">
      <c r="A101" s="318"/>
      <c r="B101" s="356"/>
      <c r="C101" s="356"/>
      <c r="D101" s="356"/>
      <c r="E101" s="357"/>
      <c r="F101" s="320"/>
      <c r="G101" s="297"/>
      <c r="H101" s="321"/>
    </row>
    <row r="102" spans="1:8" x14ac:dyDescent="0.3">
      <c r="A102" s="148" t="s">
        <v>206</v>
      </c>
      <c r="B102" s="361"/>
      <c r="C102" s="361"/>
      <c r="D102" s="361"/>
      <c r="E102" s="399"/>
      <c r="F102" s="186"/>
      <c r="G102" s="364"/>
      <c r="H102" s="270"/>
    </row>
    <row r="103" spans="1:8" ht="15" thickBot="1" x14ac:dyDescent="0.35">
      <c r="A103" s="318" t="s">
        <v>266</v>
      </c>
      <c r="B103" s="154" t="s">
        <v>230</v>
      </c>
      <c r="C103" s="184" t="s">
        <v>294</v>
      </c>
      <c r="D103" s="154" t="s">
        <v>295</v>
      </c>
      <c r="E103" s="322" t="s">
        <v>343</v>
      </c>
      <c r="F103" s="323">
        <v>29</v>
      </c>
      <c r="G103" s="160" t="s">
        <v>189</v>
      </c>
      <c r="H103" s="298"/>
    </row>
    <row r="104" spans="1:8" ht="15" thickBot="1" x14ac:dyDescent="0.35">
      <c r="A104" s="192"/>
      <c r="B104" s="162"/>
      <c r="C104" s="163"/>
      <c r="D104" s="163"/>
      <c r="E104" s="193" t="s">
        <v>211</v>
      </c>
      <c r="F104" s="324">
        <f>(F95+F96+F98+F99+F103)</f>
        <v>108</v>
      </c>
      <c r="G104" s="166"/>
      <c r="H104" s="196"/>
    </row>
    <row r="105" spans="1:8" ht="15" thickBot="1" x14ac:dyDescent="0.35">
      <c r="A105" s="197"/>
      <c r="B105" s="198"/>
      <c r="C105" s="198"/>
      <c r="D105" s="198"/>
      <c r="E105" s="198"/>
      <c r="F105" s="199"/>
      <c r="G105" s="198"/>
      <c r="H105" s="200"/>
    </row>
  </sheetData>
  <mergeCells count="13">
    <mergeCell ref="A92:H92"/>
    <mergeCell ref="A3:H3"/>
    <mergeCell ref="A5:D5"/>
    <mergeCell ref="F5:G5"/>
    <mergeCell ref="A7:H7"/>
    <mergeCell ref="A21:H21"/>
    <mergeCell ref="A41:D41"/>
    <mergeCell ref="F41:G41"/>
    <mergeCell ref="A43:H43"/>
    <mergeCell ref="A58:H58"/>
    <mergeCell ref="A74:D74"/>
    <mergeCell ref="F74:G74"/>
    <mergeCell ref="A76:H7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Sem Test 2 S2 2026 (Diplomas)</vt:lpstr>
      <vt:lpstr>Sem Test 2 S2 2026 Sat Classes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Vianney Witesyauwirwa Kambale</dc:creator>
  <cp:lastModifiedBy>Vianney Witesyavwirwa Kambale</cp:lastModifiedBy>
  <dcterms:created xsi:type="dcterms:W3CDTF">2025-08-05T16:46:42Z</dcterms:created>
  <dcterms:modified xsi:type="dcterms:W3CDTF">2026-09-11T00:01:12Z</dcterms:modified>
</cp:coreProperties>
</file>